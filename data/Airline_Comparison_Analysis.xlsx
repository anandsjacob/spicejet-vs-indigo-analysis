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eji\Downloads\"/>
    </mc:Choice>
  </mc:AlternateContent>
  <xr:revisionPtr revIDLastSave="0" documentId="13_ncr:1_{2D17A41F-1285-49AA-AB3A-758E2D14A8F0}" xr6:coauthVersionLast="47" xr6:coauthVersionMax="47" xr10:uidLastSave="{00000000-0000-0000-0000-000000000000}"/>
  <bookViews>
    <workbookView xWindow="-108" yWindow="-108" windowWidth="23256" windowHeight="13176" firstSheet="4" activeTab="7" xr2:uid="{00000000-000D-0000-FFFF-FFFF00000000}"/>
  </bookViews>
  <sheets>
    <sheet name="Financial Summary" sheetId="1" r:id="rId1"/>
    <sheet name="Operational Metrics" sheetId="2" r:id="rId2"/>
    <sheet name="Key Ratios" sheetId="3" r:id="rId3"/>
    <sheet name="Expense Breakdown" sheetId="4" r:id="rId4"/>
    <sheet name="Events &amp; Sources" sheetId="5" r:id="rId5"/>
    <sheet name="Financial Comparisons" sheetId="6" r:id="rId6"/>
    <sheet name="Operational comparisions" sheetId="7" r:id="rId7"/>
    <sheet name="key Ratio Comparisons" sheetId="8" r:id="rId8"/>
  </sheets>
  <calcPr calcId="0"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<sst xmlns="http://schemas.openxmlformats.org/spreadsheetml/2006/main" count="475" uniqueCount="169">
  <si>
    <t>Company</t>
  </si>
  <si>
    <t>Company-Year Key</t>
  </si>
  <si>
    <t>Year</t>
  </si>
  <si>
    <t>Revenue from Operations (Rs Mn)</t>
  </si>
  <si>
    <t>Other Income (Rs Mn)</t>
  </si>
  <si>
    <t>Total Income (Rs Mn)</t>
  </si>
  <si>
    <t>Total Expenses (Rs Mn)</t>
  </si>
  <si>
    <t>EBITDA (Rs Mn)</t>
  </si>
  <si>
    <t>Depreciation &amp; Amortisation (Rs Mn)</t>
  </si>
  <si>
    <t>Finance Costs (Rs Mn)</t>
  </si>
  <si>
    <t>Net Profit/(Loss) (Rs Mn)</t>
  </si>
  <si>
    <t>Total Assets (Rs Mn)</t>
  </si>
  <si>
    <t>Total Equity (Rs Mn)</t>
  </si>
  <si>
    <t>Total Debt (Rs Mn)</t>
  </si>
  <si>
    <t>Cash &amp; Bank Balances (Rs Mn)</t>
  </si>
  <si>
    <t>Net Cash from Operating Activities (Rs Mn)</t>
  </si>
  <si>
    <t>Total Current Assets (Rs Mn)</t>
  </si>
  <si>
    <t>Total Current Liabilities (Rs Mn)</t>
  </si>
  <si>
    <t>SpiceJet Limited</t>
  </si>
  <si>
    <t>SJ_FY2020-21</t>
  </si>
  <si>
    <t>FY2020-21</t>
  </si>
  <si>
    <t>SJ_FY2021-22</t>
  </si>
  <si>
    <t>FY2021-22</t>
  </si>
  <si>
    <t>SJ_FY2022-23</t>
  </si>
  <si>
    <t>FY2022-23</t>
  </si>
  <si>
    <t>SJ_FY2023-24</t>
  </si>
  <si>
    <t>FY2023-24</t>
  </si>
  <si>
    <t>SJ_FY2024-25</t>
  </si>
  <si>
    <t>FY2024-25</t>
  </si>
  <si>
    <t>InterGlobe Aviation Limited (IndiGo)</t>
  </si>
  <si>
    <t>IG_FY2020-21</t>
  </si>
  <si>
    <t>IG_FY2021-22</t>
  </si>
  <si>
    <t>IG_FY2022-23</t>
  </si>
  <si>
    <t>IG_FY2023-24</t>
  </si>
  <si>
    <t>IG_FY2024-25</t>
  </si>
  <si>
    <t>Combined dataset: SpiceJet Limited (FY2020-21 to FY2024-25) + InterGlobe Aviation Limited / IndiGo (FY2020-21 to FY2024-25). 'Company-Year Key' is a composite join key (e.g. 'SJ_FY2022-23', 'IG_FY2022-23') -- use THIS column (not 'Year' alone) to join tables in SQL / Power Pivot / Power BI, since 'Year' alone is no longer unique once two companies share the same fiscal year labels.</t>
  </si>
  <si>
    <t>Passengers Carried (Million)</t>
  </si>
  <si>
    <t>Load Factor (%)</t>
  </si>
  <si>
    <t>Fleet Size (Aircraft at Year End)</t>
  </si>
  <si>
    <t>ASK - Available Seat KM (Million)</t>
  </si>
  <si>
    <t>RPK - Revenue Passenger KM (Million)</t>
  </si>
  <si>
    <t>Domestic Market Share (%) - March, per DGCA (approx.)</t>
  </si>
  <si>
    <t>Fuel Cost % of Total Expenses</t>
  </si>
  <si>
    <t>Debt/Equity Ratio</t>
  </si>
  <si>
    <t>Revenue per Passenger (Rs)</t>
  </si>
  <si>
    <t>RASK - Revenue per ASK (Rs)</t>
  </si>
  <si>
    <t>CASK - Cost per ASK (Rs)</t>
  </si>
  <si>
    <t>Co.-Disclosed D/E (Cross-check)</t>
  </si>
  <si>
    <t>Revenue YoY Growth (%)</t>
  </si>
  <si>
    <t>EBITDA Margin (%)</t>
  </si>
  <si>
    <t>Net Margin (%)</t>
  </si>
  <si>
    <t>Total Debt / Revenue (x)</t>
  </si>
  <si>
    <t>Current Ratio (x)</t>
  </si>
  <si>
    <t>Not disclosed</t>
  </si>
  <si>
    <t>n/a (first year in dataset)</t>
  </si>
  <si>
    <t>Not disclosed (negative equity)</t>
  </si>
  <si>
    <t>Aviation Turbine Fuel (Rs Mn)</t>
  </si>
  <si>
    <t>Aircraft Repairs &amp; Maintenance (Rs Mn)</t>
  </si>
  <si>
    <t>Aircraft Lease Charges - Operating (Rs Mn)</t>
  </si>
  <si>
    <t>Supplemental Lease Charges (Rs Mn)</t>
  </si>
  <si>
    <t>Landing, Navigation &amp; Airport Charges (Rs Mn)</t>
  </si>
  <si>
    <t>Employee Benefits Expense (Rs Mn)</t>
  </si>
  <si>
    <t>Other Operating Items (residual) (Rs Mn)</t>
  </si>
  <si>
    <t>Total Expenses - Pre-D&amp;A &amp; Finance Costs (Rs Mn)</t>
  </si>
  <si>
    <t>Fully-Loaded Total Costs (incl. D&amp;A &amp; Finance) (Rs Mn)</t>
  </si>
  <si>
    <t>Fiscal Year</t>
  </si>
  <si>
    <t>Category</t>
  </si>
  <si>
    <t>Major Event / Development</t>
  </si>
  <si>
    <t>Financial Impact / Significance</t>
  </si>
  <si>
    <t>Source (Annual Report Section, Approx. Page*)</t>
  </si>
  <si>
    <t>Operations</t>
  </si>
  <si>
    <t>COVID-19 pandemic grounded most of the fleet for large parts of the year; revenue from operations fell to Rs 51,334 Mn from Rs 1,23,586 Mn in FY20 (-58%).</t>
  </si>
  <si>
    <t>Drove the year's Rs 9,983 Mn net loss; airline industry-wide demand collapse.</t>
  </si>
  <si>
    <t>FY2020-21 Annual Report, MD&amp;A / Standalone P&amp;L, p.~63-64</t>
  </si>
  <si>
    <t>Fleet</t>
  </si>
  <si>
    <t>Boeing 737 MAX aircraft remained grounded through the year following the global grounding that began March 2019 (lifted for SpiceJet only after DGCA clearance in Aug 2021).</t>
  </si>
  <si>
    <t>Reduced usable fleet capacity; compensation from Boeing recognised as other income.</t>
  </si>
  <si>
    <t>FY2020-21 Annual Report, Directors' Report, p.~14-15</t>
  </si>
  <si>
    <t>Boeing 737 MAX aircraft cleared by DGCA and brought back into revenue service during the year after ~2.5 years grounded.</t>
  </si>
  <si>
    <t>Partial capacity restoration; ASK rose to 13,152 Mn from 11,892 Mn in FY21.</t>
  </si>
  <si>
    <t>FY2021-22 Annual Report, Directors' Report, p.~15-16</t>
  </si>
  <si>
    <t>Financial</t>
  </si>
  <si>
    <t>Continued heavy losses (Rs 17,255 Mn net loss) as fuel costs nearly doubled (Rs 29,458 Mn vs Rs 15,288 Mn) amid a demand recovery that lagged cost inflation.</t>
  </si>
  <si>
    <t>Total equity turned more deeply negative (-Rs 42,884 Mn).</t>
  </si>
  <si>
    <t>FY2021-22 Annual Report, Standalone P&amp;L, p.~67</t>
  </si>
  <si>
    <t>Financial/Legal</t>
  </si>
  <si>
    <t>Multiple lessors and vendors filed applications under Section 9 of the Insolvency and Bankruptcy Code over unpaid dues; company disclosed several such proceedings.</t>
  </si>
  <si>
    <t>Signalled acute liquidity stress; part of the going-concern discussion in the auditor's report.</t>
  </si>
  <si>
    <t>FY2022-23 Annual Report, Board's Report / Notes to Accounts</t>
  </si>
  <si>
    <t>Capital raise</t>
  </si>
  <si>
    <t>Board approved preferential allotment of equity shares/warrants (~Rs 8,338 Mn raise announced) to promoters and investors during the year.</t>
  </si>
  <si>
    <t>Partial capital infusion to shore up negative net worth; still ended year with equity of -Rs 32,316 Mn.</t>
  </si>
  <si>
    <t>FY2022-23 Annual Report, Board's Report, p.~10-12</t>
  </si>
  <si>
    <t>Market</t>
  </si>
  <si>
    <t>SpiceJet's domestic market share fell sharply from ~10.2% (Q4 FY22) to ~6.9% (Q4 FY23) as grounded aircraft and cash constraints limited capacity versus rivals IndiGo and Akasa Air.</t>
  </si>
  <si>
    <t>Structural revenue-generating capacity eroded even as industry demand recovered post-COVID.</t>
  </si>
  <si>
    <t>External: DGCA data via Business Standard (Apr 2023)</t>
  </si>
  <si>
    <t>Fleet size fell further to 65 aircraft (from 76) as more planes were grounded for lack of spares/lease payments, even as the company began a Qualified Institutional Placement (QIP) process.</t>
  </si>
  <si>
    <t>ASK dropped to 13,623 Mn; despite this, cost discipline helped narrow the net loss to Rs 4,094 Mn from Rs 15,030 Mn in FY23.</t>
  </si>
  <si>
    <t>FY2023-24 Annual Report, Directors' Report / MD&amp;A, p.~70-72</t>
  </si>
  <si>
    <t>Legal</t>
  </si>
  <si>
    <t>Resolved long-running dispute with erstwhile promoters (Kalanithi Maran/KAL Airways) over share warrant advances, following Supreme Court/arbitration proceedings in prior years.</t>
  </si>
  <si>
    <t>Removed a major contingent liability overhang; improved balance-sheet clarity.</t>
  </si>
  <si>
    <t>FY2023-24 Annual Report, Notes to Accounts</t>
  </si>
  <si>
    <t>Completed a Rs 30,000 Mn (Rs 3,000 crore) Qualified Institutional Placement in September 2024, the company's largest fundraise since the crisis began.</t>
  </si>
  <si>
    <t>Turned total equity positive (+Rs 6,830 Mn) for the first time since FY2019-20; enabled plans to return grounded aircraft to service.</t>
  </si>
  <si>
    <t>FY2024-25 Annual Report, State of Affairs, p.~89</t>
  </si>
  <si>
    <t>Company reported its first standalone net profit (Rs 581 Mn) in several years, aided by the QIP-funded reduction in finance costs and a leaner cost base.</t>
  </si>
  <si>
    <t>First profitable year in the dataset; EBITDA of Rs 9,334 Mn on a smaller revenue base.</t>
  </si>
  <si>
    <t>FY2024-25 Annual Report, Standalone P&amp;L, p.~109</t>
  </si>
  <si>
    <t>Despite the equity turnaround, domestic market share continued to fall (~3.3% in March 2025) as competitors expanded capacity faster than SpiceJet could re-induct grounded aircraft.</t>
  </si>
  <si>
    <t>Highlights that the balance-sheet fix had not yet translated into a stronger competitive/market position.</t>
  </si>
  <si>
    <t>External: DGCA data via IBEF (Apr 2025)</t>
  </si>
  <si>
    <t>COVID-19 pandemic sharply curtailed flying for large parts of the year; revenue from operations fell 59% to Rs 146,406 Mn from Rs 357,560 Mn in FY20, with ASK down 52.8%.</t>
  </si>
  <si>
    <t>Drove the year's Rs 58,298 Mn net loss, the airline's largest-ever annual loss at the time.</t>
  </si>
  <si>
    <t>FY2020-21 Annual Report, MD&amp;A / Standalone P&amp;L, p.~20-21, ~101</t>
  </si>
  <si>
    <t>Governance</t>
  </si>
  <si>
    <t>Public disagreement between co-founders Rahul Bhatia (InterGlobe Enterprises) and Rakesh Gangwal over corporate governance matters continued, drawing regulatory attention.</t>
  </si>
  <si>
    <t>Created governance overhang and investor uncertainty during an already difficult pandemic year.</t>
  </si>
  <si>
    <t>FY2020-21 Annual Report, Corporate Governance Report</t>
  </si>
  <si>
    <t>Losses widened to Rs 61,710 Mn as fuel costs more than doubled (Rs 96,952 Mn vs Rs 38,313 Mn in FY21) amid a demand recovery that lagged rising oil prices following Russia's invasion of Ukraine.</t>
  </si>
  <si>
    <t>Total equity turned negative (-Rs 60,353 Mn) for the first time in the dataset.</t>
  </si>
  <si>
    <t>FY2021-22 Annual Report, Standalone P&amp;L, p.~129</t>
  </si>
  <si>
    <t>Fleet size dipped slightly to 275 aircraft (from 285) even as ASK grew 54.9% and passengers carried rose 62.3% to 49.8 million as pandemic restrictions eased through the year.</t>
  </si>
  <si>
    <t>Signalled a shift toward higher aircraft utilisation rather than pure fleet growth to drive the recovery.</t>
  </si>
  <si>
    <t>FY2021-22 Annual Report, MD&amp;A, p.~31</t>
  </si>
  <si>
    <t>Placed a firm order for 500 Airbus A320 Family aircraft on June 19, 2023, at the time the largest-ever single aircraft order by any airline globally.</t>
  </si>
  <si>
    <t>Underpins IndiGo's fleet growth and network expansion plans through the end of the decade.</t>
  </si>
  <si>
    <t>FY2022-23 Annual Report, Directors' Report/MD&amp;A, p.~37, ~106</t>
  </si>
  <si>
    <t>Rival low-cost carrier Go First filed for insolvency in May 2023 and suspended operations, removing meaningful domestic capacity.</t>
  </si>
  <si>
    <t>Contributed to IndiGo's domestic market share climbing toward record levels (~61-63% in the months following Go First's exit).</t>
  </si>
  <si>
    <t>External: DGCA data via Business Standard (Jun 2023)</t>
  </si>
  <si>
    <t>International</t>
  </si>
  <si>
    <t>Entered a codeshare partnership with Turkish Airlines and wet-leased two Boeing 777 aircraft from Turkish Airlines to add capacity on Istanbul services.</t>
  </si>
  <si>
    <t>Supported international network expansion using wide-body capacity without direct fleet ownership.</t>
  </si>
  <si>
    <t>FY2022-23 Annual Report, MD&amp;A, p.~35-36</t>
  </si>
  <si>
    <t>Company returned to strong profitability, reporting net profit of Rs 81,675 Mn versus a Rs 3,167 Mn loss in FY23, aided by robust demand, higher load factors (85.9%) and easing input costs.</t>
  </si>
  <si>
    <t>Total equity turned positive (+Rs 19,319 Mn) for the first time since FY2019-20.</t>
  </si>
  <si>
    <t>FY2023-24 Annual Report, Standalone P&amp;L, p.~153</t>
  </si>
  <si>
    <t>Domestic market share rose above 60% (reaching 60.5% in March 2024) as Go First remained grounded through most of the year and IndiGo continued rapid fleet induction (367 aircraft by year end).</t>
  </si>
  <si>
    <t>Reinforced IndiGo's position as India's dominant domestic carrier.</t>
  </si>
  <si>
    <t>External: DGCA data via Upstox/Business Standard (Apr 2024)</t>
  </si>
  <si>
    <t>Capital return</t>
  </si>
  <si>
    <t>The Board of Directors recommended IndiGo's first-ever dividend of Rs 10 (100%) per equity share for FY2024-25, subject to shareholder approval.</t>
  </si>
  <si>
    <t>Marks a structural shift in capital allocation policy following the return to sustained profitability.</t>
  </si>
  <si>
    <t>FY2024-25 Annual Report, Board's Report ('5. Dividend'), p.~55</t>
  </si>
  <si>
    <t>Net profit moderated to Rs 72,533 Mn from Rs 81,675 Mn in FY24 despite ~17% revenue growth, as finance costs and D&amp;A rose sharply (fleet/lease base expansion); Debt-Equity ratio nonetheless improved to 7.2x from 26.5x.</t>
  </si>
  <si>
    <t>Reflects the trade-off between continued fleet expansion (higher lease liabilities) and near-term profitability.</t>
  </si>
  <si>
    <t>FY2024-25 Annual Report, Standalone P&amp;L / Note 31 Capital management, p.~151, ~203</t>
  </si>
  <si>
    <t>Fleet/Network</t>
  </si>
  <si>
    <t>Fleet grew to 434 aircraft; network expanded to 128 destinations with continued international codeshare additions.</t>
  </si>
  <si>
    <t>Supported 13.1% growth in both ASK and RPK, and a record 118.6 million passengers carried.</t>
  </si>
  <si>
    <t>FY2024-25 Annual Report, MD&amp;A, p.~40-41</t>
  </si>
  <si>
    <t>Grand Total</t>
  </si>
  <si>
    <t>Sum of Domestic Market Share (%) - March, per DGCA (approx.)</t>
  </si>
  <si>
    <t>Sum of RASK - Revenue per ASK (Rs)</t>
  </si>
  <si>
    <t>Sum of CASK - Cost per ASK (Rs)</t>
  </si>
  <si>
    <t>Sum of EBITDA Margin (%)</t>
  </si>
  <si>
    <t>Sum of Current Ratio (x)</t>
  </si>
  <si>
    <t>Sum of Net Margin (%)</t>
  </si>
  <si>
    <t xml:space="preserve">Revenue </t>
  </si>
  <si>
    <t xml:space="preserve">Profit/(Loss) </t>
  </si>
  <si>
    <t xml:space="preserve"> Current Assets </t>
  </si>
  <si>
    <t>Current Liabilities</t>
  </si>
  <si>
    <t xml:space="preserve">Net Cash from Operating Activities </t>
  </si>
  <si>
    <t xml:space="preserve">Fleet Size </t>
  </si>
  <si>
    <t xml:space="preserve">Passengers Carried </t>
  </si>
  <si>
    <t xml:space="preserve"> Available Seat KM</t>
  </si>
  <si>
    <t xml:space="preserve">Revenue Passenger 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</si>
</sst>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&quot;X&quot;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66666"/>
      <name val="Arial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ck">
        <color theme="1" tint="4.9989318521683403E-2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ck">
        <color theme="1" tint="0.14996795556505021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ck">
        <color theme="1" tint="0.14996795556505021"/>
      </top>
      <bottom style="thin">
        <color rgb="FFB7B7B7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" fontId="2" fillId="0" borderId="3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9" fontId="2" fillId="0" borderId="1" xfId="1" applyFont="1" applyBorder="1" applyAlignment="1">
      <alignment horizontal="right"/>
    </xf>
    <xf numFmtId="9" fontId="2" fillId="0" borderId="4" xfId="1" applyFont="1" applyBorder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9" fontId="0" fillId="0" borderId="0" xfId="1" applyFont="1"/>
    <xf numFmtId="9" fontId="1" fillId="2" borderId="1" xfId="1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right"/>
    </xf>
    <xf numFmtId="165" fontId="0" fillId="0" borderId="0" xfId="1" applyNumberFormat="1" applyFont="1"/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right"/>
    </xf>
    <xf numFmtId="165" fontId="0" fillId="0" borderId="0" xfId="0" applyNumberFormat="1"/>
    <xf numFmtId="9" fontId="2" fillId="0" borderId="2" xfId="1" applyFont="1" applyBorder="1" applyAlignment="1">
      <alignment horizontal="right"/>
    </xf>
    <xf numFmtId="165" fontId="2" fillId="0" borderId="2" xfId="1" applyNumberFormat="1" applyFont="1" applyBorder="1" applyAlignment="1">
      <alignment horizontal="right"/>
    </xf>
    <xf numFmtId="0" fontId="2" fillId="0" borderId="5" xfId="0" applyFont="1" applyBorder="1"/>
    <xf numFmtId="9" fontId="2" fillId="0" borderId="5" xfId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9" fontId="2" fillId="0" borderId="6" xfId="1" applyFont="1" applyBorder="1" applyAlignment="1">
      <alignment horizontal="right"/>
    </xf>
    <xf numFmtId="165" fontId="2" fillId="0" borderId="6" xfId="1" applyNumberFormat="1" applyFont="1" applyBorder="1" applyAlignment="1">
      <alignment horizontal="right"/>
    </xf>
    <xf numFmtId="0" fontId="2" fillId="0" borderId="6" xfId="0" applyFont="1" applyBorder="1"/>
    <xf numFmtId="9" fontId="0" fillId="0" borderId="0" xfId="0" applyNumberFormat="1"/>
    <xf numFmtId="0" fontId="3" fillId="0" borderId="0" xfId="0" applyFont="1"/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[Airline_Comparison_Analysis.xlsx]Financial Comparisons!PivotTable1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Comparisons'!$B$3:$B$4</c:f>
              <c:strCache>
                <c:ptCount val="1"/>
                <c:pt idx="0">
                  <c:v>InterGlobe Aviation Limited (IndiGo)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Comparisons'!$A$5:$A$10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Comparisons'!$B$5:$B$10</c:f>
              <c:numCache>
                <c:formatCode>"₹"\ #,##0</c:formatCode>
                <c:ptCount val="5"/>
                <c:pt idx="0">
                  <c:v>146406.31</c:v>
                </c:pt>
                <c:pt idx="1">
                  <c:v>259309.27</c:v>
                </c:pt>
                <c:pt idx="2">
                  <c:v>544464.53</c:v>
                </c:pt>
                <c:pt idx="3">
                  <c:v>689043.42</c:v>
                </c:pt>
                <c:pt idx="4">
                  <c:v>808030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6-4E87-BDE0-362500A89E17}"/>
            </c:ext>
          </c:extLst>
        </c:ser>
        <c:ser>
          <c:idx val="1"/>
          <c:order val="1"/>
          <c:tx>
            <c:strRef>
              <c:f>'Financial Comparisons'!$C$3:$C$4</c:f>
              <c:strCache>
                <c:ptCount val="1"/>
                <c:pt idx="0">
                  <c:v>SpiceJet Limited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Comparisons'!$A$5:$A$10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Comparisons'!$C$5:$C$10</c:f>
              <c:numCache>
                <c:formatCode>"₹"\ #,##0</c:formatCode>
                <c:ptCount val="5"/>
                <c:pt idx="0">
                  <c:v>51333.77</c:v>
                </c:pt>
                <c:pt idx="1">
                  <c:v>65573.27</c:v>
                </c:pt>
                <c:pt idx="2">
                  <c:v>88688.4</c:v>
                </c:pt>
                <c:pt idx="3">
                  <c:v>70499.740000000005</c:v>
                </c:pt>
                <c:pt idx="4">
                  <c:v>52839.97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6-4E87-BDE0-362500A89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147727"/>
        <c:axId val="626496463"/>
      </c:barChart>
      <c:catAx>
        <c:axId val="5861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96463"/>
        <c:crosses val="autoZero"/>
        <c:auto val="1"/>
        <c:lblAlgn val="ctr"/>
        <c:lblOffset val="100"/>
        <c:noMultiLvlLbl val="0"/>
      </c:catAx>
      <c:valAx>
        <c:axId val="6264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4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[Airline_Comparison_Analysis.xlsx]Financial Comparisons!PivotTable2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Comparisons'!$B$27:$B$28</c:f>
              <c:strCache>
                <c:ptCount val="1"/>
                <c:pt idx="0">
                  <c:v>InterGlobe Aviation Limited (IndiGo)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Comparisons'!$A$29:$A$34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Comparisons'!$B$29:$B$34</c:f>
              <c:numCache>
                <c:formatCode>"₹"\ #,##0</c:formatCode>
                <c:ptCount val="5"/>
                <c:pt idx="0">
                  <c:v>-58297.919999999998</c:v>
                </c:pt>
                <c:pt idx="1">
                  <c:v>-61710.25</c:v>
                </c:pt>
                <c:pt idx="2">
                  <c:v>-3167.16</c:v>
                </c:pt>
                <c:pt idx="3">
                  <c:v>81674.850000000006</c:v>
                </c:pt>
                <c:pt idx="4">
                  <c:v>72533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3-4E97-AF4B-A0CFF62492EA}"/>
            </c:ext>
          </c:extLst>
        </c:ser>
        <c:ser>
          <c:idx val="1"/>
          <c:order val="1"/>
          <c:tx>
            <c:strRef>
              <c:f>'Financial Comparisons'!$C$27:$C$28</c:f>
              <c:strCache>
                <c:ptCount val="1"/>
                <c:pt idx="0">
                  <c:v>SpiceJet Limited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Comparisons'!$A$29:$A$34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Comparisons'!$C$29:$C$34</c:f>
              <c:numCache>
                <c:formatCode>"₹"\ #,##0</c:formatCode>
                <c:ptCount val="5"/>
                <c:pt idx="0">
                  <c:v>-9983.02</c:v>
                </c:pt>
                <c:pt idx="1">
                  <c:v>-17254.650000000001</c:v>
                </c:pt>
                <c:pt idx="2">
                  <c:v>-15030.15</c:v>
                </c:pt>
                <c:pt idx="3">
                  <c:v>-4094.39</c:v>
                </c:pt>
                <c:pt idx="4">
                  <c:v>580.74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3-4E97-AF4B-A0CFF624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090063"/>
        <c:axId val="1219617007"/>
      </c:barChart>
      <c:catAx>
        <c:axId val="13240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17007"/>
        <c:crosses val="autoZero"/>
        <c:auto val="1"/>
        <c:lblAlgn val="ctr"/>
        <c:lblOffset val="100"/>
        <c:noMultiLvlLbl val="0"/>
      </c:catAx>
      <c:valAx>
        <c:axId val="12196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9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[Airline_Comparison_Analysis.xlsx]Financial Comparisons!PivotTable3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Comparisons'!$F$3:$F$4</c:f>
              <c:strCache>
                <c:ptCount val="1"/>
                <c:pt idx="0">
                  <c:v>InterGlobe Aviation Limited (IndiGo) -  Current Assets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Comparisons'!$E$5:$E$10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Comparisons'!$F$5:$F$10</c:f>
              <c:numCache>
                <c:formatCode>"₹"\ #,##0</c:formatCode>
                <c:ptCount val="5"/>
                <c:pt idx="0">
                  <c:v>206151.87</c:v>
                </c:pt>
                <c:pt idx="1">
                  <c:v>201470.88</c:v>
                </c:pt>
                <c:pt idx="2">
                  <c:v>260713.47</c:v>
                </c:pt>
                <c:pt idx="3">
                  <c:v>357525.58</c:v>
                </c:pt>
                <c:pt idx="4">
                  <c:v>504796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2-4A69-A0E0-393E2503BEB0}"/>
            </c:ext>
          </c:extLst>
        </c:ser>
        <c:ser>
          <c:idx val="1"/>
          <c:order val="1"/>
          <c:tx>
            <c:strRef>
              <c:f>'Financial Comparisons'!$G$3:$G$4</c:f>
              <c:strCache>
                <c:ptCount val="1"/>
                <c:pt idx="0">
                  <c:v>InterGlobe Aviation Limited (IndiGo) -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Comparisons'!$E$5:$E$10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Comparisons'!$G$5:$G$10</c:f>
              <c:numCache>
                <c:formatCode>"₹"\ #,##0</c:formatCode>
                <c:ptCount val="5"/>
                <c:pt idx="0">
                  <c:v>189017.72</c:v>
                </c:pt>
                <c:pt idx="1">
                  <c:v>223853.28</c:v>
                </c:pt>
                <c:pt idx="2">
                  <c:v>238138.45</c:v>
                </c:pt>
                <c:pt idx="3">
                  <c:v>307450.96000000002</c:v>
                </c:pt>
                <c:pt idx="4">
                  <c:v>341181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2-4A69-A0E0-393E2503BEB0}"/>
            </c:ext>
          </c:extLst>
        </c:ser>
        <c:ser>
          <c:idx val="2"/>
          <c:order val="2"/>
          <c:tx>
            <c:strRef>
              <c:f>'Financial Comparisons'!$H$3:$H$4</c:f>
              <c:strCache>
                <c:ptCount val="1"/>
                <c:pt idx="0">
                  <c:v>SpiceJet Limited -  Current Assets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'Financial Comparisons'!$E$5:$E$10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Comparisons'!$H$5:$H$10</c:f>
              <c:numCache>
                <c:formatCode>"₹"\ #,##0</c:formatCode>
                <c:ptCount val="5"/>
                <c:pt idx="0">
                  <c:v>25784.2</c:v>
                </c:pt>
                <c:pt idx="1">
                  <c:v>21205.37</c:v>
                </c:pt>
                <c:pt idx="2">
                  <c:v>21183.77</c:v>
                </c:pt>
                <c:pt idx="3">
                  <c:v>24727.26</c:v>
                </c:pt>
                <c:pt idx="4">
                  <c:v>27242.38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3-40B1-8956-496FD9D95EAB}"/>
            </c:ext>
          </c:extLst>
        </c:ser>
        <c:ser>
          <c:idx val="3"/>
          <c:order val="3"/>
          <c:tx>
            <c:strRef>
              <c:f>'Financial Comparisons'!$I$3:$I$4</c:f>
              <c:strCache>
                <c:ptCount val="1"/>
                <c:pt idx="0">
                  <c:v>SpiceJet Limited - Current Liabilities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'Financial Comparisons'!$E$5:$E$10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Comparisons'!$I$5:$I$10</c:f>
              <c:numCache>
                <c:formatCode>"₹"\ #,##0</c:formatCode>
                <c:ptCount val="5"/>
                <c:pt idx="0">
                  <c:v>77642.570000000007</c:v>
                </c:pt>
                <c:pt idx="1">
                  <c:v>85292.04</c:v>
                </c:pt>
                <c:pt idx="2">
                  <c:v>96993.38</c:v>
                </c:pt>
                <c:pt idx="3">
                  <c:v>89558.73</c:v>
                </c:pt>
                <c:pt idx="4">
                  <c:v>65693.05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3-40B1-8956-496FD9D95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096559"/>
        <c:axId val="1219587247"/>
      </c:barChart>
      <c:catAx>
        <c:axId val="13240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87247"/>
        <c:crosses val="autoZero"/>
        <c:auto val="1"/>
        <c:lblAlgn val="ctr"/>
        <c:lblOffset val="100"/>
        <c:noMultiLvlLbl val="0"/>
      </c:catAx>
      <c:valAx>
        <c:axId val="12195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9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[Airline_Comparison_Analysis.xlsx]Financial Comparisons!PivotTable4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Comparisons'!$F$27:$F$28</c:f>
              <c:strCache>
                <c:ptCount val="1"/>
                <c:pt idx="0">
                  <c:v>InterGlobe Aviation Limited (IndiGo)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Comparisons'!$E$29:$E$34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Comparisons'!$F$29:$F$34</c:f>
              <c:numCache>
                <c:formatCode>"₹"\ #,##0</c:formatCode>
                <c:ptCount val="5"/>
                <c:pt idx="0">
                  <c:v>-16204.04</c:v>
                </c:pt>
                <c:pt idx="1">
                  <c:v>20641.009999999998</c:v>
                </c:pt>
                <c:pt idx="2">
                  <c:v>127031.4</c:v>
                </c:pt>
                <c:pt idx="3">
                  <c:v>211828</c:v>
                </c:pt>
                <c:pt idx="4">
                  <c:v>240647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42FE-B329-7B67C2B31BA1}"/>
            </c:ext>
          </c:extLst>
        </c:ser>
        <c:ser>
          <c:idx val="1"/>
          <c:order val="1"/>
          <c:tx>
            <c:strRef>
              <c:f>'Financial Comparisons'!$G$27:$G$28</c:f>
              <c:strCache>
                <c:ptCount val="1"/>
                <c:pt idx="0">
                  <c:v>SpiceJet Limited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Comparisons'!$E$29:$E$34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'Financial Comparisons'!$G$29:$G$34</c:f>
              <c:numCache>
                <c:formatCode>"₹"\ #,##0</c:formatCode>
                <c:ptCount val="5"/>
                <c:pt idx="0">
                  <c:v>2259.17</c:v>
                </c:pt>
                <c:pt idx="1">
                  <c:v>9776.83</c:v>
                </c:pt>
                <c:pt idx="2">
                  <c:v>929.81</c:v>
                </c:pt>
                <c:pt idx="3">
                  <c:v>-6134.17</c:v>
                </c:pt>
                <c:pt idx="4">
                  <c:v>-16650.740000000002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7-42FE-B329-7B67C2B3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053999"/>
        <c:axId val="1219512847"/>
      </c:barChart>
      <c:catAx>
        <c:axId val="13630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12847"/>
        <c:crosses val="autoZero"/>
        <c:auto val="1"/>
        <c:lblAlgn val="ctr"/>
        <c:lblOffset val="100"/>
        <c:noMultiLvlLbl val="0"/>
      </c:catAx>
      <c:valAx>
        <c:axId val="12195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[Airline_Comparison_Analysis.xlsx]Operational comparisions!PivotTable7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comparisions'!$F$3:$F$4</c:f>
              <c:strCache>
                <c:ptCount val="1"/>
                <c:pt idx="0">
                  <c:v>InterGlobe Aviation Limited (IndiGo) -  Available Seat 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'Operational comparisions'!$E$5:$E$10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'Operational comparisions'!$F$5:$F$10</c:f>
              <c:numCache>
                <c:formatCode>General</c:formatCode>
                <c:ptCount val="5"/>
                <c:pt idx="0">
                  <c:v>45425</c:v>
                </c:pt>
                <c:pt idx="1">
                  <c:v>70386</c:v>
                </c:pt>
                <c:pt idx="2">
                  <c:v>114359</c:v>
                </c:pt>
                <c:pt idx="3">
                  <c:v>139281</c:v>
                </c:pt>
                <c:pt idx="4">
                  <c:v>157474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0-4020-B2D2-1F1A5C956F37}"/>
            </c:ext>
          </c:extLst>
        </c:ser>
        <c:ser>
          <c:idx val="1"/>
          <c:order val="1"/>
          <c:tx>
            <c:strRef>
              <c:f>'Operational comparisions'!$G$3:$G$4</c:f>
              <c:strCache>
                <c:ptCount val="1"/>
                <c:pt idx="0">
                  <c:v>InterGlobe Aviation Limited (IndiGo) - Revenue Passenger KM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'Operational comparisions'!$E$5:$E$10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'Operational comparisions'!$G$5:$G$10</c:f>
              <c:numCache>
                <c:formatCode>General</c:formatCode>
                <c:ptCount val="5"/>
                <c:pt idx="0">
                  <c:v>31519</c:v>
                </c:pt>
                <c:pt idx="1">
                  <c:v>51774</c:v>
                </c:pt>
                <c:pt idx="2">
                  <c:v>93889</c:v>
                </c:pt>
                <c:pt idx="3">
                  <c:v>119703</c:v>
                </c:pt>
                <c:pt idx="4">
                  <c:v>135378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0-4020-B2D2-1F1A5C956F37}"/>
            </c:ext>
          </c:extLst>
        </c:ser>
        <c:ser>
          <c:idx val="2"/>
          <c:order val="2"/>
          <c:tx>
            <c:strRef>
              <c:f>'Operational comparisions'!$H$3:$H$4</c:f>
              <c:strCache>
                <c:ptCount val="1"/>
                <c:pt idx="0">
                  <c:v>SpiceJet Limited -  Available Seat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'Operational comparisions'!$E$5:$E$10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'Operational comparisions'!$H$5:$H$10</c:f>
              <c:numCache>
                <c:formatCode>General</c:formatCode>
                <c:ptCount val="5"/>
                <c:pt idx="0">
                  <c:v>11892</c:v>
                </c:pt>
                <c:pt idx="1">
                  <c:v>13152</c:v>
                </c:pt>
                <c:pt idx="2">
                  <c:v>18251</c:v>
                </c:pt>
                <c:pt idx="3">
                  <c:v>13623</c:v>
                </c:pt>
                <c:pt idx="4">
                  <c:v>10210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0-4020-B2D2-1F1A5C956F37}"/>
            </c:ext>
          </c:extLst>
        </c:ser>
        <c:ser>
          <c:idx val="3"/>
          <c:order val="3"/>
          <c:tx>
            <c:strRef>
              <c:f>'Operational comparisions'!$I$3:$I$4</c:f>
              <c:strCache>
                <c:ptCount val="1"/>
                <c:pt idx="0">
                  <c:v>SpiceJet Limited - Revenue Passenger KM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'Operational comparisions'!$E$5:$E$10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'Operational comparisions'!$I$5:$I$10</c:f>
              <c:numCache>
                <c:formatCode>General</c:formatCode>
                <c:ptCount val="5"/>
                <c:pt idx="0">
                  <c:v>9156.84</c:v>
                </c:pt>
                <c:pt idx="1">
                  <c:v>10521.6</c:v>
                </c:pt>
                <c:pt idx="2">
                  <c:v>15878.37</c:v>
                </c:pt>
                <c:pt idx="3">
                  <c:v>12260.7</c:v>
                </c:pt>
                <c:pt idx="4">
                  <c:v>8984.7999999999993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0-4020-B2D2-1F1A5C956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388608"/>
        <c:axId val="1558729168"/>
      </c:barChart>
      <c:catAx>
        <c:axId val="14173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29168"/>
        <c:crosses val="autoZero"/>
        <c:auto val="1"/>
        <c:lblAlgn val="ctr"/>
        <c:lblOffset val="100"/>
        <c:noMultiLvlLbl val="0"/>
      </c:catAx>
      <c:valAx>
        <c:axId val="15587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[Airline_Comparison_Analysis.xlsx]key Ratio Comparisons!PivotTable9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Ratio Comparisons'!$F$3:$F$4</c:f>
              <c:strCache>
                <c:ptCount val="1"/>
                <c:pt idx="0">
                  <c:v>InterGlobe Aviation Limited (IndiGo) - Sum of RASK - Revenue per ASK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Ratio Comparisons'!$E$5:$E$9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'key Ratio Comparisons'!$F$5:$F$9</c:f>
              <c:numCache>
                <c:formatCode>General</c:formatCode>
                <c:ptCount val="5"/>
                <c:pt idx="0">
                  <c:v>3.3</c:v>
                </c:pt>
                <c:pt idx="1">
                  <c:v>3.73</c:v>
                </c:pt>
                <c:pt idx="2">
                  <c:v>4.8</c:v>
                </c:pt>
                <c:pt idx="3">
                  <c:v>4.96</c:v>
                </c:pt>
                <c:pt idx="4">
                  <c:v>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F-4620-A8E0-14B2EB9B6E9B}"/>
            </c:ext>
          </c:extLst>
        </c:ser>
        <c:ser>
          <c:idx val="1"/>
          <c:order val="1"/>
          <c:tx>
            <c:strRef>
              <c:f>'key Ratio Comparisons'!$G$3:$G$4</c:f>
              <c:strCache>
                <c:ptCount val="1"/>
                <c:pt idx="0">
                  <c:v>InterGlobe Aviation Limited (IndiGo) - Sum of CASK - Cost per ASK (Rs)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'key Ratio Comparisons'!$E$5:$E$9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'key Ratio Comparisons'!$G$5:$G$9</c:f>
              <c:numCache>
                <c:formatCode>General</c:formatCode>
                <c:ptCount val="5"/>
                <c:pt idx="0">
                  <c:v>4.58</c:v>
                </c:pt>
                <c:pt idx="1">
                  <c:v>4.5999999999999996</c:v>
                </c:pt>
                <c:pt idx="2">
                  <c:v>4.83</c:v>
                </c:pt>
                <c:pt idx="3">
                  <c:v>4.38</c:v>
                </c:pt>
                <c:pt idx="4">
                  <c:v>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F-4620-A8E0-14B2EB9B6E9B}"/>
            </c:ext>
          </c:extLst>
        </c:ser>
        <c:ser>
          <c:idx val="2"/>
          <c:order val="2"/>
          <c:tx>
            <c:strRef>
              <c:f>'key Ratio Comparisons'!$H$3:$H$4</c:f>
              <c:strCache>
                <c:ptCount val="1"/>
                <c:pt idx="0">
                  <c:v>SpiceJet Limited - Sum of RASK - Revenue per ASK (Rs)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'key Ratio Comparisons'!$E$5:$E$9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'key Ratio Comparisons'!$H$5:$H$9</c:f>
              <c:numCache>
                <c:formatCode>General</c:formatCode>
                <c:ptCount val="5"/>
                <c:pt idx="0">
                  <c:v>4.3166641439623303</c:v>
                </c:pt>
                <c:pt idx="1">
                  <c:v>4.9858021593673998</c:v>
                </c:pt>
                <c:pt idx="2">
                  <c:v>4.8593720892005896</c:v>
                </c:pt>
                <c:pt idx="3">
                  <c:v>5.1750524847684103</c:v>
                </c:pt>
                <c:pt idx="4">
                  <c:v>5.1753153770812901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F-4620-A8E0-14B2EB9B6E9B}"/>
            </c:ext>
          </c:extLst>
        </c:ser>
        <c:ser>
          <c:idx val="3"/>
          <c:order val="3"/>
          <c:tx>
            <c:strRef>
              <c:f>'key Ratio Comparisons'!$I$3:$I$4</c:f>
              <c:strCache>
                <c:ptCount val="1"/>
                <c:pt idx="0">
                  <c:v>SpiceJet Limited - Sum of CASK - Cost per ASK (Rs)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'key Ratio Comparisons'!$E$5:$E$9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'key Ratio Comparisons'!$I$5:$I$9</c:f>
              <c:numCache>
                <c:formatCode>General</c:formatCode>
                <c:ptCount val="5"/>
                <c:pt idx="0">
                  <c:v>4.1701051126807904</c:v>
                </c:pt>
                <c:pt idx="1">
                  <c:v>5.6906455291970799</c:v>
                </c:pt>
                <c:pt idx="2">
                  <c:v>5.4204624404142203</c:v>
                </c:pt>
                <c:pt idx="3">
                  <c:v>5.6501277251706696</c:v>
                </c:pt>
                <c:pt idx="4">
                  <c:v>5.63131341821743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FF-4620-A8E0-14B2EB9B6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039504"/>
        <c:axId val="1558774288"/>
      </c:barChart>
      <c:catAx>
        <c:axId val="141003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74288"/>
        <c:crosses val="autoZero"/>
        <c:auto val="1"/>
        <c:lblAlgn val="ctr"/>
        <c:lblOffset val="100"/>
        <c:noMultiLvlLbl val="0"/>
      </c:catAx>
      <c:valAx>
        <c:axId val="15587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3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83820</xdr:rowOff>
    </xdr:from>
    <xdr:to>
      <xdr:col>2</xdr:col>
      <xdr:colOff>990600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DDA44-DCF3-E50C-42DA-96181A66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7626</xdr:colOff>
      <xdr:row>34</xdr:row>
      <xdr:rowOff>3810</xdr:rowOff>
    </xdr:from>
    <xdr:to>
      <xdr:col>3</xdr:col>
      <xdr:colOff>0</xdr:colOff>
      <xdr:row>49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F633FB-ECA8-8035-651B-398226648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2506980</xdr:colOff>
      <xdr:row>10</xdr:row>
      <xdr:rowOff>176261</xdr:rowOff>
    </xdr:from>
    <xdr:to>
      <xdr:col>9</xdr:col>
      <xdr:colOff>0</xdr:colOff>
      <xdr:row>25</xdr:row>
      <xdr:rowOff>176261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93A91-CF55-A83F-C232-49420A32D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34</xdr:row>
      <xdr:rowOff>7620</xdr:rowOff>
    </xdr:from>
    <xdr:to>
      <xdr:col>6</xdr:col>
      <xdr:colOff>990600</xdr:colOff>
      <xdr:row>49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C6974C-817C-A22D-ED5B-B78675DE4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731520</xdr:colOff>
      <xdr:row>11</xdr:row>
      <xdr:rowOff>129540</xdr:rowOff>
    </xdr:from>
    <xdr:to>
      <xdr:col>9</xdr:col>
      <xdr:colOff>10298</xdr:colOff>
      <xdr:row>30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DA819-84AE-734D-2511-C36821558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27542</xdr:colOff>
      <xdr:row>10</xdr:row>
      <xdr:rowOff>91808</xdr:rowOff>
    </xdr:from>
    <xdr:to>
      <xdr:col>8</xdr:col>
      <xdr:colOff>1927952</xdr:colOff>
      <xdr:row>28</xdr:row>
      <xdr:rowOff>9182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BDBC4-DA3A-ACAF-8411-774DD5DB0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ji jacob" refreshedDate="46278.716531597223" createdVersion="8" refreshedVersion="8" minRefreshableVersion="3" recordCount="10" xr:uid="{5C770E68-9EE3-4A7C-8491-A097C3855BFA}">
  <cacheSource type="worksheet">
    <worksheetSource ref="A1:R11" sheet="Financial Summary"/>
  </cacheSource>
  <cacheFields count="18">
    <cacheField name="Company" numFmtId="0">
      <sharedItems count="2">
        <s v="SpiceJet Limited"/>
        <s v="InterGlobe Aviation Limited (IndiGo)"/>
      </sharedItems>
    </cacheField>
    <cacheField name="Company-Year Key" numFmtId="0">
      <sharedItems/>
    </cacheField>
    <cacheField name="Year" numFmtId="0">
      <sharedItems count="5">
        <s v="FY2020-21"/>
        <s v="FY2021-22"/>
        <s v="FY2022-23"/>
        <s v="FY2023-24"/>
        <s v="FY2024-25"/>
      </sharedItems>
    </cacheField>
    <cacheField name="Revenue from Operations (Rs Mn)" numFmtId="1">
      <sharedItems containsSemiMixedTypes="0" containsString="0" containsNumber="1" minValue="51333.77" maxValue="808030"/>
    </cacheField>
    <cacheField name="Other Income (Rs Mn)" numFmtId="1">
      <sharedItems containsSemiMixedTypes="0" containsString="0" containsNumber="1" minValue="7245.42" maxValue="33068"/>
    </cacheField>
    <cacheField name="Total Income (Rs Mn)" numFmtId="1">
      <sharedItems containsSemiMixedTypes="0" containsString="0" containsNumber="1" minValue="60669.36" maxValue="841098"/>
    </cacheField>
    <cacheField name="Total Expenses (Rs Mn)" numFmtId="1">
      <sharedItems containsSemiMixedTypes="0" containsString="0" containsNumber="1" minValue="49590.89" maxValue="627968"/>
    </cacheField>
    <cacheField name="EBITDA (Rs Mn)" numFmtId="1">
      <sharedItems containsSemiMixedTypes="0" containsString="0" containsNumber="1" minValue="-331.36" maxValue="213130"/>
    </cacheField>
    <cacheField name="Depreciation &amp; Amortisation (Rs Mn)" numFmtId="1">
      <sharedItems containsSemiMixedTypes="0" containsString="0" containsNumber="1" minValue="6376.98" maxValue="86366"/>
    </cacheField>
    <cacheField name="Finance Costs (Rs Mn)" numFmtId="1">
      <sharedItems containsSemiMixedTypes="0" containsString="0" containsNumber="1" minValue="2908.08" maxValue="50889"/>
    </cacheField>
    <cacheField name="Net Profit/(Loss) (Rs Mn)" numFmtId="1">
      <sharedItems containsSemiMixedTypes="0" containsString="0" containsNumber="1" minValue="-61710.25" maxValue="81674.850000000006"/>
    </cacheField>
    <cacheField name="Total Assets (Rs Mn)" numFmtId="1">
      <sharedItems containsSemiMixedTypes="0" containsString="0" containsNumber="1" minValue="89565.95" maxValue="1159139"/>
    </cacheField>
    <cacheField name="Total Equity (Rs Mn)" numFmtId="1">
      <sharedItems containsSemiMixedTypes="0" containsString="0" containsNumber="1" minValue="-63031.37" maxValue="93068"/>
    </cacheField>
    <cacheField name="Total Debt (Rs Mn)" numFmtId="1">
      <sharedItems containsSemiMixedTypes="0" containsString="0" containsNumber="1" minValue="42137.9" maxValue="670884"/>
    </cacheField>
    <cacheField name="Cash &amp; Bank Balances (Rs Mn)" numFmtId="1">
      <sharedItems containsSemiMixedTypes="0" containsString="0" containsNumber="1" minValue="320.33" maxValue="188594"/>
    </cacheField>
    <cacheField name="Net Cash from Operating Activities (Rs Mn)" numFmtId="1">
      <sharedItems containsSemiMixedTypes="0" containsString="0" containsNumber="1" minValue="-16650.740000000002" maxValue="240647"/>
    </cacheField>
    <cacheField name="Total Current Assets (Rs Mn)" numFmtId="1">
      <sharedItems containsSemiMixedTypes="0" containsString="0" containsNumber="1" minValue="21183.77" maxValue="504796"/>
    </cacheField>
    <cacheField name="Total Current Liabilities (Rs Mn)" numFmtId="1">
      <sharedItems containsSemiMixedTypes="0" containsString="0" containsNumber="1" minValue="65693.05" maxValue="341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ji jacob" refreshedDate="46279.366501388889" createdVersion="8" refreshedVersion="8" minRefreshableVersion="3" recordCount="10" xr:uid="{C6317B46-5979-494E-9712-9C4125E85869}">
  <cacheSource type="worksheet">
    <worksheetSource ref="A1:I11" sheet="Operational Metrics"/>
  </cacheSource>
  <cacheFields count="9">
    <cacheField name="Company" numFmtId="0">
      <sharedItems count="2">
        <s v="SpiceJet Limited"/>
        <s v="InterGlobe Aviation Limited (IndiGo)"/>
      </sharedItems>
    </cacheField>
    <cacheField name="Company-Year Key" numFmtId="0">
      <sharedItems/>
    </cacheField>
    <cacheField name="Year" numFmtId="0">
      <sharedItems count="5">
        <s v="FY2020-21"/>
        <s v="FY2021-22"/>
        <s v="FY2022-23"/>
        <s v="FY2023-24"/>
        <s v="FY2024-25"/>
      </sharedItems>
    </cacheField>
    <cacheField name="Passengers Carried (Million)" numFmtId="0">
      <sharedItems containsSemiMixedTypes="0" containsString="0" containsNumber="1" minValue="6.94" maxValue="118.58799999999999"/>
    </cacheField>
    <cacheField name="Load Factor (%)" numFmtId="0">
      <sharedItems containsSemiMixedTypes="0" containsString="0" containsNumber="1" minValue="0.69399999999999995" maxValue="0.9"/>
    </cacheField>
    <cacheField name="Fleet Size (Aircraft at Year End)" numFmtId="0">
      <sharedItems containsSemiMixedTypes="0" containsString="0" containsNumber="1" containsInteger="1" minValue="61" maxValue="434"/>
    </cacheField>
    <cacheField name="ASK - Available Seat KM (Million)" numFmtId="0">
      <sharedItems containsSemiMixedTypes="0" containsString="0" containsNumber="1" containsInteger="1" minValue="10210" maxValue="157474"/>
    </cacheField>
    <cacheField name="RPK - Revenue Passenger KM (Million)" numFmtId="0">
      <sharedItems containsSemiMixedTypes="0" containsString="0" containsNumber="1" minValue="8984.7999999999993" maxValue="135378"/>
    </cacheField>
    <cacheField name="Domestic Market Share (%) - March, per DGCA (approx.)" numFmtId="0">
      <sharedItems containsSemiMixedTypes="0" containsString="0" containsNumber="1" minValue="3.3000000000000002E-2" maxValue="0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ji jacob" refreshedDate="46279.461677777777" createdVersion="8" refreshedVersion="8" minRefreshableVersion="3" recordCount="10" xr:uid="{F7BABDE1-B4BE-459A-B270-2439DAED0AA3}">
  <cacheSource type="worksheet">
    <worksheetSource ref="A1:O11" sheet="Key Ratios"/>
  </cacheSource>
  <cacheFields count="15">
    <cacheField name="Company" numFmtId="0">
      <sharedItems count="2">
        <s v="SpiceJet Limited"/>
        <s v="InterGlobe Aviation Limited (IndiGo)"/>
      </sharedItems>
    </cacheField>
    <cacheField name="Company-Year Key" numFmtId="0">
      <sharedItems/>
    </cacheField>
    <cacheField name="Year" numFmtId="0">
      <sharedItems count="5">
        <s v="FY2020-21"/>
        <s v="FY2021-22"/>
        <s v="FY2022-23"/>
        <s v="FY2023-24"/>
        <s v="FY2024-25"/>
      </sharedItems>
    </cacheField>
    <cacheField name="Fuel Cost % of Total Expenses" numFmtId="9">
      <sharedItems containsSemiMixedTypes="0" containsString="0" containsNumber="1" minValue="0.26123375648869401" maxValue="0.49301939992205401"/>
    </cacheField>
    <cacheField name="Debt/Equity Ratio" numFmtId="164">
      <sharedItems containsSemiMixedTypes="0" containsString="0" containsNumber="1" minValue="-7.1161729468993" maxValue="421.09822448490303"/>
    </cacheField>
    <cacheField name="Revenue per Passenger (Rs)" numFmtId="164">
      <sharedItems containsSemiMixedTypes="0" containsString="0" containsNumber="1" minValue="4769.8674007949403" maxValue="7613.8285302593704"/>
    </cacheField>
    <cacheField name="RASK - Revenue per ASK (Rs)" numFmtId="0">
      <sharedItems containsSemiMixedTypes="0" containsString="0" containsNumber="1" minValue="3.3" maxValue="5.1753153770812901"/>
    </cacheField>
    <cacheField name="CASK - Cost per ASK (Rs)" numFmtId="0">
      <sharedItems containsSemiMixedTypes="0" containsString="0" containsNumber="1" minValue="4.1701051126807904" maxValue="5.6906455291970799"/>
    </cacheField>
    <cacheField name="Field9" caption="Field9" numFmtId="0">
      <sharedItems containsNonDate="0" containsString="0" containsBlank="1"/>
    </cacheField>
    <cacheField name="Co.-Disclosed D/E (Cross-check)" numFmtId="0">
      <sharedItems containsMixedTypes="1" containsNumber="1" minValue="-2.27" maxValue="26.54"/>
    </cacheField>
    <cacheField name="Revenue YoY Growth (%)" numFmtId="9">
      <sharedItems containsMixedTypes="1" containsNumber="1" minValue="-0.25049411529744697" maxValue="1.0996724490412599"/>
    </cacheField>
    <cacheField name="EBITDA Margin (%)" numFmtId="9">
      <sharedItems containsSemiMixedTypes="0" containsString="0" containsNumber="1" minValue="-3.7362270601341298E-3" maxValue="0.27020362519389601"/>
    </cacheField>
    <cacheField name="Net Margin (%)" numFmtId="9">
      <sharedItems containsSemiMixedTypes="0" containsString="0" containsNumber="1" minValue="-0.398192673526162" maxValue="0.118533676731141"/>
    </cacheField>
    <cacheField name="Total Debt / Revenue (x)" numFmtId="165">
      <sharedItems containsSemiMixedTypes="0" containsString="0" containsNumber="1" minValue="0.74422044404690801" maxValue="2.0395059475237098"/>
    </cacheField>
    <cacheField name="Current Ratio (x)" numFmtId="165">
      <sharedItems containsSemiMixedTypes="0" containsString="0" containsNumber="1" minValue="0.218404286972987" maxValue="1.47955484039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J_FY2020-21"/>
    <x v="0"/>
    <n v="51333.77"/>
    <n v="9335.59"/>
    <n v="60669.36"/>
    <n v="49590.89"/>
    <n v="11078.47"/>
    <n v="15579.56"/>
    <n v="6020.5"/>
    <n v="-9983.02"/>
    <n v="113755.24"/>
    <n v="-25715.3"/>
    <n v="91533.77"/>
    <n v="320.33"/>
    <n v="2259.17"/>
    <n v="25784.2"/>
    <n v="77642.570000000007"/>
  </r>
  <r>
    <x v="0"/>
    <s v="SJ_FY2021-22"/>
    <x v="1"/>
    <n v="65573.27"/>
    <n v="9872.33"/>
    <n v="75445.600000000006"/>
    <n v="74843.37"/>
    <n v="602.23"/>
    <n v="12897.32"/>
    <n v="4825.79"/>
    <n v="-17254.650000000001"/>
    <n v="95203.75"/>
    <n v="-42884.32"/>
    <n v="83301.990000000005"/>
    <n v="602.99"/>
    <n v="9776.83"/>
    <n v="21205.37"/>
    <n v="85292.04"/>
  </r>
  <r>
    <x v="0"/>
    <s v="SJ_FY2022-23"/>
    <x v="2"/>
    <n v="88688.4"/>
    <n v="9909.1"/>
    <n v="98597.5"/>
    <n v="98928.86"/>
    <n v="-331.36"/>
    <n v="10193.64"/>
    <n v="5056.51"/>
    <n v="-15030.15"/>
    <n v="102797.74"/>
    <n v="-32316.07"/>
    <n v="73482.13"/>
    <n v="336.13"/>
    <n v="929.81"/>
    <n v="21183.77"/>
    <n v="96993.38"/>
  </r>
  <r>
    <x v="0"/>
    <s v="SJ_FY2023-24"/>
    <x v="3"/>
    <n v="70499.740000000005"/>
    <n v="14186.66"/>
    <n v="84686.399999999994"/>
    <n v="76971.69"/>
    <n v="7714.71"/>
    <n v="7479.13"/>
    <n v="4613.26"/>
    <n v="-4094.39"/>
    <n v="89565.95"/>
    <n v="-25858.47"/>
    <n v="53755.39"/>
    <n v="1975.52"/>
    <n v="-6134.17"/>
    <n v="24727.26"/>
    <n v="89558.73"/>
  </r>
  <r>
    <x v="0"/>
    <s v="SJ_FY2024-25"/>
    <x v="4"/>
    <n v="52839.97"/>
    <n v="13989.55"/>
    <n v="66829.52"/>
    <n v="57495.71"/>
    <n v="9333.81"/>
    <n v="6376.98"/>
    <n v="2908.08"/>
    <n v="580.74"/>
    <n v="91158.19"/>
    <n v="6830.22"/>
    <n v="42137.9"/>
    <n v="2374.92"/>
    <n v="-16650.740000000002"/>
    <n v="27242.38"/>
    <n v="65693.05"/>
  </r>
  <r>
    <x v="1"/>
    <s v="IG_FY2020-21"/>
    <x v="0"/>
    <n v="146406.31"/>
    <n v="10363.32"/>
    <n v="156769.63"/>
    <n v="146660.87"/>
    <n v="10108.76"/>
    <n v="46986.85"/>
    <n v="21419.83"/>
    <n v="-58297.919999999998"/>
    <n v="429742.54"/>
    <n v="709.09"/>
    <n v="298596.53999999998"/>
    <n v="112270.6"/>
    <n v="-16204.04"/>
    <n v="206151.87"/>
    <n v="189017.72"/>
  </r>
  <r>
    <x v="1"/>
    <s v="IG_FY2021-22"/>
    <x v="1"/>
    <n v="259309.27"/>
    <n v="7245.42"/>
    <n v="266554.69"/>
    <n v="254006.32"/>
    <n v="12548.37"/>
    <n v="50678.47"/>
    <n v="23580.15"/>
    <n v="-61710.25"/>
    <n v="458601.06"/>
    <n v="-60352.92"/>
    <n v="368778.37"/>
    <n v="101165.22"/>
    <n v="20641.009999999998"/>
    <n v="201470.88"/>
    <n v="223853.28"/>
  </r>
  <r>
    <x v="1"/>
    <s v="IG_FY2022-23"/>
    <x v="2"/>
    <n v="544464.53"/>
    <n v="14314.35"/>
    <n v="558778.88"/>
    <n v="479616.36"/>
    <n v="79162.52"/>
    <n v="51012.37"/>
    <n v="31317.31"/>
    <n v="-3167.16"/>
    <n v="590426.84"/>
    <n v="-63031.37"/>
    <n v="448542.13"/>
    <n v="118105.72"/>
    <n v="127031.4"/>
    <n v="260713.47"/>
    <n v="238138.45"/>
  </r>
  <r>
    <x v="1"/>
    <s v="IG_FY2023-24"/>
    <x v="3"/>
    <n v="689043.42"/>
    <n v="23255.72"/>
    <n v="712299.14"/>
    <n v="526117.11"/>
    <n v="186182.03"/>
    <n v="64056.09"/>
    <n v="41693.53"/>
    <n v="81674.850000000006"/>
    <n v="820688.22"/>
    <n v="19319.28"/>
    <n v="512800.2"/>
    <n v="167093.35999999999"/>
    <n v="211828"/>
    <n v="357525.58"/>
    <n v="307450.96000000002"/>
  </r>
  <r>
    <x v="1"/>
    <s v="IG_FY2024-25"/>
    <x v="4"/>
    <n v="808030"/>
    <n v="33068"/>
    <n v="841098"/>
    <n v="627968"/>
    <n v="213130"/>
    <n v="86366"/>
    <n v="50889"/>
    <n v="72533"/>
    <n v="1159139"/>
    <n v="93068"/>
    <n v="670884"/>
    <n v="188594"/>
    <n v="240647"/>
    <n v="504796"/>
    <n v="3411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J_FY2020-21"/>
    <x v="0"/>
    <n v="7.76"/>
    <n v="0.77"/>
    <n v="98"/>
    <n v="11892"/>
    <n v="9156.84"/>
    <n v="9.4E-2"/>
  </r>
  <r>
    <x v="0"/>
    <s v="SJ_FY2021-22"/>
    <x v="1"/>
    <n v="9.18"/>
    <n v="0.8"/>
    <n v="88"/>
    <n v="13152"/>
    <n v="10521.6"/>
    <n v="0.10199999999999999"/>
  </r>
  <r>
    <x v="0"/>
    <s v="SJ_FY2022-23"/>
    <x v="2"/>
    <n v="12.74"/>
    <n v="0.87"/>
    <n v="76"/>
    <n v="18251"/>
    <n v="15878.37"/>
    <n v="6.4000000000000001E-2"/>
  </r>
  <r>
    <x v="0"/>
    <s v="SJ_FY2023-24"/>
    <x v="3"/>
    <n v="9.7799999999999994"/>
    <n v="0.9"/>
    <n v="65"/>
    <n v="13623"/>
    <n v="12260.7"/>
    <n v="5.2999999999999999E-2"/>
  </r>
  <r>
    <x v="0"/>
    <s v="SJ_FY2024-25"/>
    <x v="4"/>
    <n v="6.94"/>
    <n v="0.88"/>
    <n v="61"/>
    <n v="10210"/>
    <n v="8984.7999999999993"/>
    <n v="3.3000000000000002E-2"/>
  </r>
  <r>
    <x v="1"/>
    <s v="IG_FY2020-21"/>
    <x v="0"/>
    <n v="30.693999999999999"/>
    <n v="0.69399999999999995"/>
    <n v="285"/>
    <n v="45425"/>
    <n v="31519"/>
    <n v="0.54"/>
  </r>
  <r>
    <x v="1"/>
    <s v="IG_FY2021-22"/>
    <x v="1"/>
    <n v="49.802999999999997"/>
    <n v="0.73599999999999999"/>
    <n v="275"/>
    <n v="70386"/>
    <n v="51774"/>
    <n v="0.53800000000000003"/>
  </r>
  <r>
    <x v="1"/>
    <s v="IG_FY2022-23"/>
    <x v="2"/>
    <n v="85.590999999999994"/>
    <n v="0.82099999999999995"/>
    <n v="304"/>
    <n v="114359"/>
    <n v="93889"/>
    <n v="0.55700000000000005"/>
  </r>
  <r>
    <x v="1"/>
    <s v="IG_FY2023-24"/>
    <x v="3"/>
    <n v="106.72799999999999"/>
    <n v="0.85899999999999999"/>
    <n v="367"/>
    <n v="139281"/>
    <n v="119703"/>
    <n v="0.60499999999999998"/>
  </r>
  <r>
    <x v="1"/>
    <s v="IG_FY2024-25"/>
    <x v="4"/>
    <n v="118.58799999999999"/>
    <n v="0.86"/>
    <n v="434"/>
    <n v="157474"/>
    <n v="135378"/>
    <n v="0.6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J_FY2020-21"/>
    <x v="0"/>
    <n v="0.308282428486361"/>
    <n v="-3.5595062083662299"/>
    <n v="6615.17654639175"/>
    <n v="4.3166641439623303"/>
    <n v="4.1701051126807904"/>
    <m/>
    <s v="Not disclosed"/>
    <s v="n/a (first year in dataset)"/>
    <n v="0.215812514841595"/>
    <n v="-0.19447276130313401"/>
    <n v="1.78311022159487"/>
    <n v="0.33208844065826298"/>
  </r>
  <r>
    <x v="0"/>
    <s v="SJ_FY2021-22"/>
    <x v="1"/>
    <n v="0.393595317795017"/>
    <n v="-1.9424813078533101"/>
    <n v="7143.05773420479"/>
    <n v="4.9858021593673998"/>
    <n v="5.6906455291970799"/>
    <m/>
    <s v="Not disclosed"/>
    <n v="0.27739049752239098"/>
    <n v="9.1840775974722597E-3"/>
    <n v="-0.26313542088109998"/>
    <n v="1.2703650435611999"/>
    <n v="0.24862073881689301"/>
  </r>
  <r>
    <x v="0"/>
    <s v="SJ_FY2022-23"/>
    <x v="2"/>
    <n v="0.48233184937135598"/>
    <n v="-2.2738572481121602"/>
    <n v="6961.4128728414398"/>
    <n v="4.8593720892005896"/>
    <n v="5.4204624404142203"/>
    <m/>
    <n v="-2.27"/>
    <n v="0.35250842302053897"/>
    <n v="-3.7362270601341298E-3"/>
    <n v="-0.16947143031106701"/>
    <n v="0.82854274065153999"/>
    <n v="0.218404286972987"/>
  </r>
  <r>
    <x v="0"/>
    <s v="SJ_FY2023-24"/>
    <x v="3"/>
    <n v="0.38748817909545702"/>
    <n v="-2.0788310367937499"/>
    <n v="7208.5623721881402"/>
    <n v="5.1750524847684103"/>
    <n v="5.6501277251706696"/>
    <m/>
    <n v="-2.08"/>
    <n v="-0.20508499420442799"/>
    <n v="0.109428914205925"/>
    <n v="-5.8076668084165999E-2"/>
    <n v="0.76249061344056002"/>
    <n v="0.27610105681489699"/>
  </r>
  <r>
    <x v="0"/>
    <s v="SJ_FY2024-25"/>
    <x v="4"/>
    <n v="0.35682470918265002"/>
    <n v="6.1693327594133098"/>
    <n v="7613.8285302593704"/>
    <n v="5.1753153770812901"/>
    <n v="5.63131341821743"/>
    <m/>
    <n v="6.17"/>
    <n v="-0.25049411529744697"/>
    <n v="0.176642984468008"/>
    <n v="1.0990543711512301E-2"/>
    <n v="0.79746260264720104"/>
    <n v="0.41469196513177597"/>
  </r>
  <r>
    <x v="1"/>
    <s v="IG_FY2020-21"/>
    <x v="0"/>
    <n v="0.26123375648869401"/>
    <n v="421.09822448490303"/>
    <n v="4769.8674007949403"/>
    <n v="3.3"/>
    <n v="4.58"/>
    <m/>
    <s v="Not disclosed (negative equity)"/>
    <s v="n/a (first year in dataset)"/>
    <n v="6.9045931148732601E-2"/>
    <n v="-0.398192673526162"/>
    <n v="2.0395059475237098"/>
    <n v="1.0906483794217801"/>
  </r>
  <r>
    <x v="1"/>
    <s v="IG_FY2021-22"/>
    <x v="1"/>
    <n v="0.38169270748853801"/>
    <n v="-6.1103649997382101"/>
    <n v="5206.6997972009704"/>
    <n v="3.73"/>
    <n v="4.5999999999999996"/>
    <m/>
    <s v="Not disclosed (negative equity)"/>
    <n v="0.77116184404893495"/>
    <n v="4.8391521059004197E-2"/>
    <n v="-0.23797934412448901"/>
    <n v="1.42215652375251"/>
    <n v="0.90001307999596902"/>
  </r>
  <r>
    <x v="1"/>
    <s v="IG_FY2022-23"/>
    <x v="2"/>
    <n v="0.49301939992205401"/>
    <n v="-7.1161729468993"/>
    <n v="6361.2357607692402"/>
    <n v="4.8"/>
    <n v="4.83"/>
    <m/>
    <s v="Not disclosed (negative equity)"/>
    <n v="1.0996724490412599"/>
    <n v="0.145395183043421"/>
    <n v="-5.8170180525809502E-3"/>
    <n v="0.82382249951158404"/>
    <n v="1.09479787913292"/>
  </r>
  <r>
    <x v="1"/>
    <s v="IG_FY2023-24"/>
    <x v="3"/>
    <n v="0.45435849824386099"/>
    <n v="26.543442612768199"/>
    <n v="6456.0698223521504"/>
    <n v="4.96"/>
    <n v="4.38"/>
    <m/>
    <n v="26.54"/>
    <n v="0.26554326688645802"/>
    <n v="0.27020362519389601"/>
    <n v="0.118533676731141"/>
    <n v="0.74422044404690801"/>
    <n v="1.1628702671801701"/>
  </r>
  <r>
    <x v="1"/>
    <s v="IG_FY2024-25"/>
    <x v="4"/>
    <n v="0.41717571596004899"/>
    <n v="7.2085356943310304"/>
    <n v="6813.7585590447597"/>
    <n v="5.14"/>
    <n v="4.66"/>
    <m/>
    <n v="7.21"/>
    <n v="0.172683718538376"/>
    <n v="0.26376495922181098"/>
    <n v="8.9765231488929897E-2"/>
    <n v="0.830271153298764"/>
    <n v="1.479554840392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203B2-C9F2-4EC0-81DA-21E2293475A4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3">
  <location ref="E27:G34" firstHeaderRow="1" firstDataRow="2" firstDataCol="1"/>
  <pivotFields count="18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Net Cash from Operating Activities " fld="15" baseField="0" baseItem="0" numFmtId="166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AFABC-94F4-45B4-9DE6-87BDAA8DB8D7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2">
  <location ref="E3:I10" firstHeaderRow="0" firstDataRow="2" firstDataCol="1"/>
  <pivotFields count="18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 Current Assets " fld="16" baseField="2" baseItem="0" numFmtId="166"/>
    <dataField name="Current Liabilities" fld="17" baseField="2" baseItem="0" numFmtId="166"/>
  </dataFields>
  <chartFormats count="6">
    <chartFormat chart="1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68E82-0A90-451C-AE8A-5650344F5413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2" colHeaderCaption="">
  <location ref="A27:C34" firstHeaderRow="1" firstDataRow="2" firstDataCol="1"/>
  <pivotFields count="18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Profit/(Loss) " fld="10" baseField="0" baseItem="0" numFmtId="166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72893-2935-4F37-8CC4-E61A4723BED5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1">
  <location ref="A3:C10" firstHeaderRow="1" firstDataRow="2" firstDataCol="1"/>
  <pivotFields count="18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Revenue " fld="3" baseField="0" baseItem="0" numFmtId="166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86067-B9B2-4FCB-81DB-9E29B2722C15}" name="PivotTable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3:C10" firstHeaderRow="1" firstDataRow="2" firstDataCol="1"/>
  <pivotFields count="9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Fleet Size " fld="5" baseField="0" baseItem="0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C52ED-17E5-4A2E-8C5F-5CADFA85A345}" name="PivotTable7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4">
  <location ref="E3:I10" firstHeaderRow="0" firstDataRow="2" firstDataCol="1"/>
  <pivotFields count="9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 Available Seat KM" fld="6" baseField="2" baseItem="0"/>
    <dataField name="Revenue Passenger KM " fld="7" baseField="2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FEED0-D0E2-48F4-968D-D822D203F9D4}" name="PivotTable6" cacheId="1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showHeaders="0" outline="1" outlineData="1" multipleFieldFilters="0">
  <location ref="A14:C21" firstHeaderRow="1" firstDataRow="2" firstDataCol="1"/>
  <pivotFields count="9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Passengers Carried " fld="3" baseField="0" baseItem="0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C3067-B468-4D5B-8104-75523CBF15B6}" name="PivotTable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24:C31" firstHeaderRow="1" firstDataRow="2" firstDataCol="1"/>
  <pivotFields count="9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>
      <x v="1"/>
    </i>
  </colItems>
  <dataFields count="1">
    <dataField name="Sum of Domestic Market Share (%) - March, per DGCA (approx.)" fld="8" baseField="0" baseItem="0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23015-7807-46F8-AA5F-4C491DF8DF2F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22:C28" firstHeaderRow="1" firstDataRow="2" firstDataCol="1"/>
  <pivotFields count="15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9" showAll="0"/>
    <pivotField dataField="1" numFmtId="9" showAll="0"/>
    <pivotField numFmtId="165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2">
    <i>
      <x/>
    </i>
    <i>
      <x v="1"/>
    </i>
  </colItems>
  <dataFields count="1">
    <dataField name="Sum of Net Margin (%)" fld="12" baseField="0" baseItem="0" numFmtId="9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BC632-C489-4BA1-B702-C24A4C71F82B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">
  <location ref="E3:I9" firstHeaderRow="0" firstDataRow="2" firstDataCol="1"/>
  <pivotFields count="15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9" showAll="0"/>
    <pivotField numFmtId="164" showAll="0"/>
    <pivotField numFmtId="164" showAll="0"/>
    <pivotField dataField="1" showAll="0"/>
    <pivotField dataField="1" showAll="0"/>
    <pivotField showAll="0"/>
    <pivotField showAll="0"/>
    <pivotField showAll="0"/>
    <pivotField numFmtId="9" showAll="0"/>
    <pivotField numFmtId="9" showAll="0"/>
    <pivotField numFmtId="165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RASK - Revenue per ASK (Rs)" fld="6" baseField="0" baseItem="0"/>
    <dataField name="Sum of CASK - Cost per ASK (Rs)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1E60E-DB41-485B-A212-224FFA644F59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13:C19" firstHeaderRow="1" firstDataRow="2" firstDataCol="1"/>
  <pivotFields count="15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9" showAll="0"/>
    <pivotField numFmtId="9" showAll="0"/>
    <pivotField numFmtId="165" showAll="0"/>
    <pivotField dataField="1"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2">
    <i>
      <x/>
    </i>
    <i>
      <x v="1"/>
    </i>
  </colItems>
  <dataFields count="1">
    <dataField name="Sum of Current Ratio (x)" fld="14" baseField="0" baseItem="0" numFmtId="165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75E8A-57BD-4914-B354-6C31534B94A7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C9" firstHeaderRow="1" firstDataRow="2" firstDataCol="1"/>
  <pivotFields count="15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numFmtId="9" showAll="0"/>
    <pivotField numFmtId="9" showAll="0"/>
    <pivotField numFmtId="165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2">
    <i>
      <x/>
    </i>
    <i>
      <x v="1"/>
    </i>
  </colItems>
  <dataFields count="1">
    <dataField name="Sum of EBITDA Margin (%)" fld="11" baseField="0" baseItem="0" numFmtId="9"/>
  </dataFields>
  <pivotTableStyleInfo name="PivotStyleMedium2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J1" workbookViewId="0">
      <pane ySplit="1" topLeftCell="A2" activePane="bottomLeft" state="frozen"/>
      <selection pane="bottomLeft" activeCell="Q10" sqref="Q10"/>
    </sheetView>
  </sheetViews>
  <sheetFormatPr defaultRowHeight="14.4" x14ac:dyDescent="0.3"/>
  <cols>
    <col min="1" max="1" width="32" customWidth="1"/>
    <col min="2" max="2" width="16" customWidth="1"/>
    <col min="3" max="18" width="22" customWidth="1"/>
  </cols>
  <sheetData>
    <row r="1" spans="1:18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4">
        <v>51333.77</v>
      </c>
      <c r="E2" s="4">
        <v>9335.59</v>
      </c>
      <c r="F2" s="4">
        <v>60669.36</v>
      </c>
      <c r="G2" s="4">
        <v>49590.89</v>
      </c>
      <c r="H2" s="4">
        <v>11078.47</v>
      </c>
      <c r="I2" s="4">
        <v>15579.56</v>
      </c>
      <c r="J2" s="4">
        <v>6020.5</v>
      </c>
      <c r="K2" s="4">
        <v>-9983.02</v>
      </c>
      <c r="L2" s="4">
        <v>113755.24</v>
      </c>
      <c r="M2" s="4">
        <v>-25715.3</v>
      </c>
      <c r="N2" s="4">
        <v>91533.77</v>
      </c>
      <c r="O2" s="4">
        <v>320.33</v>
      </c>
      <c r="P2" s="4">
        <v>2259.17</v>
      </c>
      <c r="Q2" s="4">
        <v>25784.2</v>
      </c>
      <c r="R2" s="4">
        <v>77642.570000000007</v>
      </c>
    </row>
    <row r="3" spans="1:18" x14ac:dyDescent="0.3">
      <c r="A3" s="2" t="s">
        <v>18</v>
      </c>
      <c r="B3" s="2" t="s">
        <v>21</v>
      </c>
      <c r="C3" s="2" t="s">
        <v>22</v>
      </c>
      <c r="D3" s="4">
        <v>65573.27</v>
      </c>
      <c r="E3" s="4">
        <v>9872.33</v>
      </c>
      <c r="F3" s="4">
        <v>75445.600000000006</v>
      </c>
      <c r="G3" s="4">
        <v>74843.37</v>
      </c>
      <c r="H3" s="4">
        <v>602.23</v>
      </c>
      <c r="I3" s="4">
        <v>12897.32</v>
      </c>
      <c r="J3" s="4">
        <v>4825.79</v>
      </c>
      <c r="K3" s="4">
        <v>-17254.650000000001</v>
      </c>
      <c r="L3" s="4">
        <v>95203.75</v>
      </c>
      <c r="M3" s="4">
        <v>-42884.32</v>
      </c>
      <c r="N3" s="4">
        <v>83301.990000000005</v>
      </c>
      <c r="O3" s="4">
        <v>602.99</v>
      </c>
      <c r="P3" s="4">
        <v>9776.83</v>
      </c>
      <c r="Q3" s="4">
        <v>21205.37</v>
      </c>
      <c r="R3" s="4">
        <v>85292.04</v>
      </c>
    </row>
    <row r="4" spans="1:18" x14ac:dyDescent="0.3">
      <c r="A4" s="2" t="s">
        <v>18</v>
      </c>
      <c r="B4" s="2" t="s">
        <v>23</v>
      </c>
      <c r="C4" s="2" t="s">
        <v>24</v>
      </c>
      <c r="D4" s="4">
        <v>88688.4</v>
      </c>
      <c r="E4" s="4">
        <v>9909.1</v>
      </c>
      <c r="F4" s="4">
        <v>98597.5</v>
      </c>
      <c r="G4" s="4">
        <v>98928.86</v>
      </c>
      <c r="H4" s="4">
        <v>-331.36</v>
      </c>
      <c r="I4" s="4">
        <v>10193.64</v>
      </c>
      <c r="J4" s="4">
        <v>5056.51</v>
      </c>
      <c r="K4" s="4">
        <v>-15030.15</v>
      </c>
      <c r="L4" s="4">
        <v>102797.74</v>
      </c>
      <c r="M4" s="4">
        <v>-32316.07</v>
      </c>
      <c r="N4" s="4">
        <v>73482.13</v>
      </c>
      <c r="O4" s="4">
        <v>336.13</v>
      </c>
      <c r="P4" s="4">
        <v>929.81</v>
      </c>
      <c r="Q4" s="4">
        <v>21183.77</v>
      </c>
      <c r="R4" s="4">
        <v>96993.38</v>
      </c>
    </row>
    <row r="5" spans="1:18" x14ac:dyDescent="0.3">
      <c r="A5" s="2" t="s">
        <v>18</v>
      </c>
      <c r="B5" s="2" t="s">
        <v>25</v>
      </c>
      <c r="C5" s="2" t="s">
        <v>26</v>
      </c>
      <c r="D5" s="4">
        <v>70499.740000000005</v>
      </c>
      <c r="E5" s="4">
        <v>14186.66</v>
      </c>
      <c r="F5" s="4">
        <v>84686.399999999994</v>
      </c>
      <c r="G5" s="4">
        <v>76971.69</v>
      </c>
      <c r="H5" s="4">
        <v>7714.71</v>
      </c>
      <c r="I5" s="4">
        <v>7479.13</v>
      </c>
      <c r="J5" s="4">
        <v>4613.26</v>
      </c>
      <c r="K5" s="4">
        <v>-4094.39</v>
      </c>
      <c r="L5" s="4">
        <v>89565.95</v>
      </c>
      <c r="M5" s="4">
        <v>-25858.47</v>
      </c>
      <c r="N5" s="4">
        <v>53755.39</v>
      </c>
      <c r="O5" s="4">
        <v>1975.52</v>
      </c>
      <c r="P5" s="4">
        <v>-6134.17</v>
      </c>
      <c r="Q5" s="4">
        <v>24727.26</v>
      </c>
      <c r="R5" s="4">
        <v>89558.73</v>
      </c>
    </row>
    <row r="6" spans="1:18" ht="15" thickBot="1" x14ac:dyDescent="0.35">
      <c r="A6" s="7" t="s">
        <v>18</v>
      </c>
      <c r="B6" s="7" t="s">
        <v>27</v>
      </c>
      <c r="C6" s="7" t="s">
        <v>28</v>
      </c>
      <c r="D6" s="8">
        <v>52839.97</v>
      </c>
      <c r="E6" s="8">
        <v>13989.55</v>
      </c>
      <c r="F6" s="8">
        <v>66829.52</v>
      </c>
      <c r="G6" s="8">
        <v>57495.71</v>
      </c>
      <c r="H6" s="8">
        <v>9333.81</v>
      </c>
      <c r="I6" s="8">
        <v>6376.98</v>
      </c>
      <c r="J6" s="8">
        <v>2908.08</v>
      </c>
      <c r="K6" s="8">
        <v>580.74</v>
      </c>
      <c r="L6" s="8">
        <v>91158.19</v>
      </c>
      <c r="M6" s="8">
        <v>6830.22</v>
      </c>
      <c r="N6" s="8">
        <v>42137.9</v>
      </c>
      <c r="O6" s="8">
        <v>2374.92</v>
      </c>
      <c r="P6" s="8">
        <v>-16650.740000000002</v>
      </c>
      <c r="Q6" s="8">
        <v>27242.38</v>
      </c>
      <c r="R6" s="8">
        <v>65693.05</v>
      </c>
    </row>
    <row r="7" spans="1:18" ht="15" thickTop="1" x14ac:dyDescent="0.3">
      <c r="A7" s="9" t="s">
        <v>29</v>
      </c>
      <c r="B7" s="9" t="s">
        <v>30</v>
      </c>
      <c r="C7" s="9" t="s">
        <v>20</v>
      </c>
      <c r="D7" s="10">
        <v>146406.31</v>
      </c>
      <c r="E7" s="10">
        <v>10363.32</v>
      </c>
      <c r="F7" s="10">
        <v>156769.63</v>
      </c>
      <c r="G7" s="10">
        <v>146660.87</v>
      </c>
      <c r="H7" s="10">
        <v>10108.76</v>
      </c>
      <c r="I7" s="10">
        <v>46986.85</v>
      </c>
      <c r="J7" s="10">
        <v>21419.83</v>
      </c>
      <c r="K7" s="10">
        <v>-58297.919999999998</v>
      </c>
      <c r="L7" s="10">
        <v>429742.54</v>
      </c>
      <c r="M7" s="10">
        <v>709.09</v>
      </c>
      <c r="N7" s="10">
        <v>298596.53999999998</v>
      </c>
      <c r="O7" s="10">
        <v>112270.6</v>
      </c>
      <c r="P7" s="10">
        <v>-16204.04</v>
      </c>
      <c r="Q7" s="10">
        <v>206151.87</v>
      </c>
      <c r="R7" s="10">
        <v>189017.72</v>
      </c>
    </row>
    <row r="8" spans="1:18" x14ac:dyDescent="0.3">
      <c r="A8" s="2" t="s">
        <v>29</v>
      </c>
      <c r="B8" s="2" t="s">
        <v>31</v>
      </c>
      <c r="C8" s="2" t="s">
        <v>22</v>
      </c>
      <c r="D8" s="4">
        <v>259309.27</v>
      </c>
      <c r="E8" s="4">
        <v>7245.42</v>
      </c>
      <c r="F8" s="4">
        <v>266554.69</v>
      </c>
      <c r="G8" s="4">
        <v>254006.32</v>
      </c>
      <c r="H8" s="4">
        <v>12548.37</v>
      </c>
      <c r="I8" s="4">
        <v>50678.47</v>
      </c>
      <c r="J8" s="4">
        <v>23580.15</v>
      </c>
      <c r="K8" s="4">
        <v>-61710.25</v>
      </c>
      <c r="L8" s="4">
        <v>458601.06</v>
      </c>
      <c r="M8" s="4">
        <v>-60352.92</v>
      </c>
      <c r="N8" s="4">
        <v>368778.37</v>
      </c>
      <c r="O8" s="4">
        <v>101165.22</v>
      </c>
      <c r="P8" s="4">
        <v>20641.009999999998</v>
      </c>
      <c r="Q8" s="4">
        <v>201470.88</v>
      </c>
      <c r="R8" s="4">
        <v>223853.28</v>
      </c>
    </row>
    <row r="9" spans="1:18" x14ac:dyDescent="0.3">
      <c r="A9" s="2" t="s">
        <v>29</v>
      </c>
      <c r="B9" s="2" t="s">
        <v>32</v>
      </c>
      <c r="C9" s="2" t="s">
        <v>24</v>
      </c>
      <c r="D9" s="4">
        <v>544464.53</v>
      </c>
      <c r="E9" s="4">
        <v>14314.35</v>
      </c>
      <c r="F9" s="4">
        <v>558778.88</v>
      </c>
      <c r="G9" s="4">
        <v>479616.36</v>
      </c>
      <c r="H9" s="4">
        <v>79162.52</v>
      </c>
      <c r="I9" s="4">
        <v>51012.37</v>
      </c>
      <c r="J9" s="4">
        <v>31317.31</v>
      </c>
      <c r="K9" s="4">
        <v>-3167.16</v>
      </c>
      <c r="L9" s="4">
        <v>590426.84</v>
      </c>
      <c r="M9" s="4">
        <v>-63031.37</v>
      </c>
      <c r="N9" s="4">
        <v>448542.13</v>
      </c>
      <c r="O9" s="4">
        <v>118105.72</v>
      </c>
      <c r="P9" s="4">
        <v>127031.4</v>
      </c>
      <c r="Q9" s="4">
        <v>260713.47</v>
      </c>
      <c r="R9" s="4">
        <v>238138.45</v>
      </c>
    </row>
    <row r="10" spans="1:18" x14ac:dyDescent="0.3">
      <c r="A10" s="2" t="s">
        <v>29</v>
      </c>
      <c r="B10" s="2" t="s">
        <v>33</v>
      </c>
      <c r="C10" s="2" t="s">
        <v>26</v>
      </c>
      <c r="D10" s="4">
        <v>689043.42</v>
      </c>
      <c r="E10" s="4">
        <v>23255.72</v>
      </c>
      <c r="F10" s="4">
        <v>712299.14</v>
      </c>
      <c r="G10" s="4">
        <v>526117.11</v>
      </c>
      <c r="H10" s="4">
        <v>186182.03</v>
      </c>
      <c r="I10" s="4">
        <v>64056.09</v>
      </c>
      <c r="J10" s="4">
        <v>41693.53</v>
      </c>
      <c r="K10" s="4">
        <v>81674.850000000006</v>
      </c>
      <c r="L10" s="4">
        <v>820688.22</v>
      </c>
      <c r="M10" s="4">
        <v>19319.28</v>
      </c>
      <c r="N10" s="4">
        <v>512800.2</v>
      </c>
      <c r="O10" s="4">
        <v>167093.35999999999</v>
      </c>
      <c r="P10" s="4">
        <v>211828</v>
      </c>
      <c r="Q10" s="4">
        <v>357525.58</v>
      </c>
      <c r="R10" s="4">
        <v>307450.96000000002</v>
      </c>
    </row>
    <row r="11" spans="1:18" x14ac:dyDescent="0.3">
      <c r="A11" s="2" t="s">
        <v>29</v>
      </c>
      <c r="B11" s="2" t="s">
        <v>34</v>
      </c>
      <c r="C11" s="2" t="s">
        <v>28</v>
      </c>
      <c r="D11" s="4">
        <v>808030</v>
      </c>
      <c r="E11" s="4">
        <v>33068</v>
      </c>
      <c r="F11" s="4">
        <v>841098</v>
      </c>
      <c r="G11" s="4">
        <v>627968</v>
      </c>
      <c r="H11" s="4">
        <v>213130</v>
      </c>
      <c r="I11" s="4">
        <v>86366</v>
      </c>
      <c r="J11" s="4">
        <v>50889</v>
      </c>
      <c r="K11" s="4">
        <v>72533</v>
      </c>
      <c r="L11" s="4">
        <v>1159139</v>
      </c>
      <c r="M11" s="4">
        <v>93068</v>
      </c>
      <c r="N11" s="4">
        <v>670884</v>
      </c>
      <c r="O11" s="4">
        <v>188594</v>
      </c>
      <c r="P11" s="4">
        <v>240647</v>
      </c>
      <c r="Q11" s="4">
        <v>504796</v>
      </c>
      <c r="R11" s="4">
        <v>341181</v>
      </c>
    </row>
    <row r="13" spans="1:18" x14ac:dyDescent="0.3">
      <c r="A13" s="38" t="s">
        <v>35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</sheetData>
  <mergeCells count="1">
    <mergeCell ref="A13:R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 activeCell="I11" sqref="I11"/>
    </sheetView>
  </sheetViews>
  <sheetFormatPr defaultRowHeight="14.4" x14ac:dyDescent="0.3"/>
  <cols>
    <col min="1" max="1" width="32" customWidth="1"/>
    <col min="2" max="2" width="16" customWidth="1"/>
    <col min="3" max="9" width="22" customWidth="1"/>
  </cols>
  <sheetData>
    <row r="1" spans="1:9" ht="41.4" x14ac:dyDescent="0.3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3">
      <c r="A2" s="2" t="s">
        <v>18</v>
      </c>
      <c r="B2" s="2" t="s">
        <v>19</v>
      </c>
      <c r="C2" s="2" t="s">
        <v>20</v>
      </c>
      <c r="D2" s="3">
        <v>7.76</v>
      </c>
      <c r="E2" s="3">
        <v>0.77</v>
      </c>
      <c r="F2" s="3">
        <v>98</v>
      </c>
      <c r="G2" s="3">
        <v>11892</v>
      </c>
      <c r="H2" s="3">
        <v>9156.84</v>
      </c>
      <c r="I2" s="3">
        <v>9.4E-2</v>
      </c>
    </row>
    <row r="3" spans="1:9" x14ac:dyDescent="0.3">
      <c r="A3" s="2" t="s">
        <v>18</v>
      </c>
      <c r="B3" s="2" t="s">
        <v>21</v>
      </c>
      <c r="C3" s="2" t="s">
        <v>22</v>
      </c>
      <c r="D3" s="3">
        <v>9.18</v>
      </c>
      <c r="E3" s="3">
        <v>0.8</v>
      </c>
      <c r="F3" s="3">
        <v>88</v>
      </c>
      <c r="G3" s="3">
        <v>13152</v>
      </c>
      <c r="H3" s="3">
        <v>10521.6</v>
      </c>
      <c r="I3" s="3">
        <v>0.10199999999999999</v>
      </c>
    </row>
    <row r="4" spans="1:9" x14ac:dyDescent="0.3">
      <c r="A4" s="2" t="s">
        <v>18</v>
      </c>
      <c r="B4" s="2" t="s">
        <v>23</v>
      </c>
      <c r="C4" s="2" t="s">
        <v>24</v>
      </c>
      <c r="D4" s="3">
        <v>12.74</v>
      </c>
      <c r="E4" s="3">
        <v>0.87</v>
      </c>
      <c r="F4" s="3">
        <v>76</v>
      </c>
      <c r="G4" s="3">
        <v>18251</v>
      </c>
      <c r="H4" s="3">
        <v>15878.37</v>
      </c>
      <c r="I4" s="3">
        <v>6.4000000000000001E-2</v>
      </c>
    </row>
    <row r="5" spans="1:9" x14ac:dyDescent="0.3">
      <c r="A5" s="2" t="s">
        <v>18</v>
      </c>
      <c r="B5" s="2" t="s">
        <v>25</v>
      </c>
      <c r="C5" s="2" t="s">
        <v>26</v>
      </c>
      <c r="D5" s="3">
        <v>9.7799999999999994</v>
      </c>
      <c r="E5" s="3">
        <v>0.9</v>
      </c>
      <c r="F5" s="3">
        <v>65</v>
      </c>
      <c r="G5" s="3">
        <v>13623</v>
      </c>
      <c r="H5" s="3">
        <v>12260.7</v>
      </c>
      <c r="I5" s="3">
        <v>5.2999999999999999E-2</v>
      </c>
    </row>
    <row r="6" spans="1:9" ht="15" thickBot="1" x14ac:dyDescent="0.35">
      <c r="A6" s="7" t="s">
        <v>18</v>
      </c>
      <c r="B6" s="7" t="s">
        <v>27</v>
      </c>
      <c r="C6" s="7" t="s">
        <v>28</v>
      </c>
      <c r="D6" s="11">
        <v>6.94</v>
      </c>
      <c r="E6" s="11">
        <v>0.88</v>
      </c>
      <c r="F6" s="11">
        <v>61</v>
      </c>
      <c r="G6" s="11">
        <v>10210</v>
      </c>
      <c r="H6" s="11">
        <v>8984.7999999999993</v>
      </c>
      <c r="I6" s="11">
        <v>3.3000000000000002E-2</v>
      </c>
    </row>
    <row r="7" spans="1:9" ht="15" thickTop="1" x14ac:dyDescent="0.3">
      <c r="A7" s="9" t="s">
        <v>29</v>
      </c>
      <c r="B7" s="9" t="s">
        <v>30</v>
      </c>
      <c r="C7" s="9" t="s">
        <v>20</v>
      </c>
      <c r="D7" s="12">
        <v>30.693999999999999</v>
      </c>
      <c r="E7" s="12">
        <v>0.69399999999999995</v>
      </c>
      <c r="F7" s="12">
        <v>285</v>
      </c>
      <c r="G7" s="12">
        <v>45425</v>
      </c>
      <c r="H7" s="12">
        <v>31519</v>
      </c>
      <c r="I7" s="12">
        <v>0.54</v>
      </c>
    </row>
    <row r="8" spans="1:9" x14ac:dyDescent="0.3">
      <c r="A8" s="2" t="s">
        <v>29</v>
      </c>
      <c r="B8" s="2" t="s">
        <v>31</v>
      </c>
      <c r="C8" s="2" t="s">
        <v>22</v>
      </c>
      <c r="D8" s="3">
        <v>49.802999999999997</v>
      </c>
      <c r="E8" s="3">
        <v>0.73599999999999999</v>
      </c>
      <c r="F8" s="3">
        <v>275</v>
      </c>
      <c r="G8" s="3">
        <v>70386</v>
      </c>
      <c r="H8" s="3">
        <v>51774</v>
      </c>
      <c r="I8" s="3">
        <v>0.53800000000000003</v>
      </c>
    </row>
    <row r="9" spans="1:9" x14ac:dyDescent="0.3">
      <c r="A9" s="2" t="s">
        <v>29</v>
      </c>
      <c r="B9" s="2" t="s">
        <v>32</v>
      </c>
      <c r="C9" s="2" t="s">
        <v>24</v>
      </c>
      <c r="D9" s="3">
        <v>85.590999999999994</v>
      </c>
      <c r="E9" s="3">
        <v>0.82099999999999995</v>
      </c>
      <c r="F9" s="3">
        <v>304</v>
      </c>
      <c r="G9" s="3">
        <v>114359</v>
      </c>
      <c r="H9" s="3">
        <v>93889</v>
      </c>
      <c r="I9" s="3">
        <v>0.55700000000000005</v>
      </c>
    </row>
    <row r="10" spans="1:9" x14ac:dyDescent="0.3">
      <c r="A10" s="2" t="s">
        <v>29</v>
      </c>
      <c r="B10" s="2" t="s">
        <v>33</v>
      </c>
      <c r="C10" s="2" t="s">
        <v>26</v>
      </c>
      <c r="D10" s="3">
        <v>106.72799999999999</v>
      </c>
      <c r="E10" s="3">
        <v>0.85899999999999999</v>
      </c>
      <c r="F10" s="3">
        <v>367</v>
      </c>
      <c r="G10" s="3">
        <v>139281</v>
      </c>
      <c r="H10" s="3">
        <v>119703</v>
      </c>
      <c r="I10" s="3">
        <v>0.60499999999999998</v>
      </c>
    </row>
    <row r="11" spans="1:9" x14ac:dyDescent="0.3">
      <c r="A11" s="2" t="s">
        <v>29</v>
      </c>
      <c r="B11" s="2" t="s">
        <v>34</v>
      </c>
      <c r="C11" s="2" t="s">
        <v>28</v>
      </c>
      <c r="D11" s="3">
        <v>118.58799999999999</v>
      </c>
      <c r="E11" s="3">
        <v>0.86</v>
      </c>
      <c r="F11" s="3">
        <v>434</v>
      </c>
      <c r="G11" s="3">
        <v>157474</v>
      </c>
      <c r="H11" s="3">
        <v>135378</v>
      </c>
      <c r="I11" s="3">
        <v>0.62</v>
      </c>
    </row>
    <row r="13" spans="1:9" x14ac:dyDescent="0.3">
      <c r="A13" s="38" t="s">
        <v>35</v>
      </c>
      <c r="B13" s="39"/>
      <c r="C13" s="39"/>
      <c r="D13" s="39"/>
      <c r="E13" s="39"/>
      <c r="F13" s="39"/>
      <c r="G13" s="39"/>
      <c r="H13" s="39"/>
      <c r="I13" s="39"/>
    </row>
  </sheetData>
  <mergeCells count="1"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pane ySplit="1" topLeftCell="A2" activePane="bottomLeft" state="frozen"/>
      <selection pane="bottomLeft" activeCell="H21" sqref="H21"/>
    </sheetView>
  </sheetViews>
  <sheetFormatPr defaultRowHeight="14.4" x14ac:dyDescent="0.3"/>
  <cols>
    <col min="1" max="1" width="32" customWidth="1"/>
    <col min="2" max="2" width="16" customWidth="1"/>
    <col min="3" max="10" width="22" customWidth="1"/>
    <col min="11" max="13" width="22" style="20" customWidth="1"/>
    <col min="14" max="15" width="22" style="23" customWidth="1"/>
  </cols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9" t="s">
        <v>44</v>
      </c>
      <c r="G1" s="1" t="s">
        <v>45</v>
      </c>
      <c r="H1" s="1" t="s">
        <v>46</v>
      </c>
      <c r="I1" s="1"/>
      <c r="J1" s="1" t="s">
        <v>47</v>
      </c>
      <c r="K1" s="21" t="s">
        <v>48</v>
      </c>
      <c r="L1" s="21" t="s">
        <v>49</v>
      </c>
      <c r="M1" s="21" t="s">
        <v>50</v>
      </c>
      <c r="N1" s="24" t="s">
        <v>51</v>
      </c>
      <c r="O1" s="24" t="s">
        <v>52</v>
      </c>
    </row>
    <row r="2" spans="1:15" x14ac:dyDescent="0.3">
      <c r="A2" s="2" t="s">
        <v>18</v>
      </c>
      <c r="B2" s="2" t="s">
        <v>19</v>
      </c>
      <c r="C2" s="2" t="s">
        <v>20</v>
      </c>
      <c r="D2" s="17">
        <v>0.308282428486361</v>
      </c>
      <c r="E2" s="15">
        <v>-3.5595062083662299</v>
      </c>
      <c r="F2" s="15">
        <v>6615.17654639175</v>
      </c>
      <c r="G2" s="15">
        <v>4.3166641439623303</v>
      </c>
      <c r="H2" s="15">
        <v>4.1701051126807904</v>
      </c>
      <c r="I2" s="3"/>
      <c r="J2" s="3" t="s">
        <v>53</v>
      </c>
      <c r="K2" s="17" t="s">
        <v>54</v>
      </c>
      <c r="L2" s="17">
        <v>0.215812514841595</v>
      </c>
      <c r="M2" s="17">
        <v>-0.19447276130313401</v>
      </c>
      <c r="N2" s="25">
        <v>1.78311022159487</v>
      </c>
      <c r="O2" s="25">
        <v>0.33208844065826298</v>
      </c>
    </row>
    <row r="3" spans="1:15" x14ac:dyDescent="0.3">
      <c r="A3" s="2" t="s">
        <v>18</v>
      </c>
      <c r="B3" s="2" t="s">
        <v>21</v>
      </c>
      <c r="C3" s="2" t="s">
        <v>22</v>
      </c>
      <c r="D3" s="17">
        <v>0.393595317795017</v>
      </c>
      <c r="E3" s="15">
        <v>-1.9424813078533101</v>
      </c>
      <c r="F3" s="15">
        <v>7143.05773420479</v>
      </c>
      <c r="G3" s="15">
        <v>4.9858021593673998</v>
      </c>
      <c r="H3" s="15">
        <v>5.6906455291970799</v>
      </c>
      <c r="I3" s="3"/>
      <c r="J3" s="3" t="s">
        <v>53</v>
      </c>
      <c r="K3" s="17">
        <v>0.27739049752239098</v>
      </c>
      <c r="L3" s="17">
        <v>9.1840775974722597E-3</v>
      </c>
      <c r="M3" s="17">
        <v>-0.26313542088109998</v>
      </c>
      <c r="N3" s="25">
        <v>1.2703650435611999</v>
      </c>
      <c r="O3" s="25">
        <v>0.24862073881689301</v>
      </c>
    </row>
    <row r="4" spans="1:15" x14ac:dyDescent="0.3">
      <c r="A4" s="2" t="s">
        <v>18</v>
      </c>
      <c r="B4" s="2" t="s">
        <v>23</v>
      </c>
      <c r="C4" s="2" t="s">
        <v>24</v>
      </c>
      <c r="D4" s="17">
        <v>0.48233184937135598</v>
      </c>
      <c r="E4" s="15">
        <v>-2.2738572481121602</v>
      </c>
      <c r="F4" s="15">
        <v>6961.4128728414398</v>
      </c>
      <c r="G4" s="15">
        <v>4.8593720892005896</v>
      </c>
      <c r="H4" s="15">
        <v>5.4204624404142203</v>
      </c>
      <c r="I4" s="3"/>
      <c r="J4" s="3">
        <v>-2.27</v>
      </c>
      <c r="K4" s="17">
        <v>0.35250842302053897</v>
      </c>
      <c r="L4" s="17">
        <v>-3.7362270601341298E-3</v>
      </c>
      <c r="M4" s="17">
        <v>-0.16947143031106701</v>
      </c>
      <c r="N4" s="25">
        <v>0.82854274065153999</v>
      </c>
      <c r="O4" s="25">
        <v>0.218404286972987</v>
      </c>
    </row>
    <row r="5" spans="1:15" x14ac:dyDescent="0.3">
      <c r="A5" s="2" t="s">
        <v>18</v>
      </c>
      <c r="B5" s="2" t="s">
        <v>25</v>
      </c>
      <c r="C5" s="2" t="s">
        <v>26</v>
      </c>
      <c r="D5" s="17">
        <v>0.38748817909545702</v>
      </c>
      <c r="E5" s="15">
        <v>-2.0788310367937499</v>
      </c>
      <c r="F5" s="15">
        <v>7208.5623721881402</v>
      </c>
      <c r="G5" s="15">
        <v>5.1750524847684103</v>
      </c>
      <c r="H5" s="15">
        <v>5.6501277251706696</v>
      </c>
      <c r="I5" s="3"/>
      <c r="J5" s="3">
        <v>-2.08</v>
      </c>
      <c r="K5" s="17">
        <v>-0.20508499420442799</v>
      </c>
      <c r="L5" s="17">
        <v>0.109428914205925</v>
      </c>
      <c r="M5" s="17">
        <v>-5.8076668084165999E-2</v>
      </c>
      <c r="N5" s="25">
        <v>0.76249061344056002</v>
      </c>
      <c r="O5" s="25">
        <v>0.27610105681489699</v>
      </c>
    </row>
    <row r="6" spans="1:15" ht="15" thickBot="1" x14ac:dyDescent="0.35">
      <c r="A6" s="7" t="s">
        <v>18</v>
      </c>
      <c r="B6" s="7" t="s">
        <v>27</v>
      </c>
      <c r="C6" s="7" t="s">
        <v>28</v>
      </c>
      <c r="D6" s="27">
        <v>0.35682470918265002</v>
      </c>
      <c r="E6" s="16">
        <v>6.1693327594133098</v>
      </c>
      <c r="F6" s="16">
        <v>7613.8285302593704</v>
      </c>
      <c r="G6" s="16">
        <v>5.1753153770812901</v>
      </c>
      <c r="H6" s="16">
        <v>5.63131341821743</v>
      </c>
      <c r="I6" s="11"/>
      <c r="J6" s="11">
        <v>6.17</v>
      </c>
      <c r="K6" s="27">
        <v>-0.25049411529744697</v>
      </c>
      <c r="L6" s="27">
        <v>0.176642984468008</v>
      </c>
      <c r="M6" s="27">
        <v>1.0990543711512301E-2</v>
      </c>
      <c r="N6" s="28">
        <v>0.79746260264720104</v>
      </c>
      <c r="O6" s="28">
        <v>0.41469196513177597</v>
      </c>
    </row>
    <row r="7" spans="1:15" ht="15" thickTop="1" x14ac:dyDescent="0.3">
      <c r="A7" s="29" t="s">
        <v>29</v>
      </c>
      <c r="B7" s="29" t="s">
        <v>30</v>
      </c>
      <c r="C7" s="29" t="s">
        <v>20</v>
      </c>
      <c r="D7" s="30">
        <v>0.26123375648869401</v>
      </c>
      <c r="E7" s="31">
        <v>421.09822448490303</v>
      </c>
      <c r="F7" s="31">
        <v>4769.8674007949403</v>
      </c>
      <c r="G7" s="32">
        <v>3.3</v>
      </c>
      <c r="H7" s="32">
        <v>4.58</v>
      </c>
      <c r="I7" s="33"/>
      <c r="J7" s="33" t="s">
        <v>55</v>
      </c>
      <c r="K7" s="34" t="s">
        <v>54</v>
      </c>
      <c r="L7" s="34">
        <v>6.9045931148732601E-2</v>
      </c>
      <c r="M7" s="34">
        <v>-0.398192673526162</v>
      </c>
      <c r="N7" s="35">
        <v>2.0395059475237098</v>
      </c>
      <c r="O7" s="35">
        <v>1.0906483794217801</v>
      </c>
    </row>
    <row r="8" spans="1:15" x14ac:dyDescent="0.3">
      <c r="A8" s="13" t="s">
        <v>29</v>
      </c>
      <c r="B8" s="13" t="s">
        <v>31</v>
      </c>
      <c r="C8" s="13" t="s">
        <v>22</v>
      </c>
      <c r="D8" s="18">
        <v>0.38169270748853801</v>
      </c>
      <c r="E8" s="22">
        <v>-6.1103649997382101</v>
      </c>
      <c r="F8" s="22">
        <v>5206.6997972009704</v>
      </c>
      <c r="G8" s="14">
        <v>3.73</v>
      </c>
      <c r="H8" s="14">
        <v>4.5999999999999996</v>
      </c>
      <c r="I8" s="3"/>
      <c r="J8" s="3" t="s">
        <v>55</v>
      </c>
      <c r="K8" s="17">
        <v>0.77116184404893495</v>
      </c>
      <c r="L8" s="17">
        <v>4.8391521059004197E-2</v>
      </c>
      <c r="M8" s="17">
        <v>-0.23797934412448901</v>
      </c>
      <c r="N8" s="25">
        <v>1.42215652375251</v>
      </c>
      <c r="O8" s="25">
        <v>0.90001307999596902</v>
      </c>
    </row>
    <row r="9" spans="1:15" x14ac:dyDescent="0.3">
      <c r="A9" s="2" t="s">
        <v>29</v>
      </c>
      <c r="B9" s="2" t="s">
        <v>32</v>
      </c>
      <c r="C9" s="2" t="s">
        <v>24</v>
      </c>
      <c r="D9" s="17">
        <v>0.49301939992205401</v>
      </c>
      <c r="E9" s="15">
        <v>-7.1161729468993</v>
      </c>
      <c r="F9" s="15">
        <v>6361.2357607692402</v>
      </c>
      <c r="G9" s="3">
        <v>4.8</v>
      </c>
      <c r="H9" s="3">
        <v>4.83</v>
      </c>
      <c r="I9" s="3"/>
      <c r="J9" s="3" t="s">
        <v>55</v>
      </c>
      <c r="K9" s="17">
        <v>1.0996724490412599</v>
      </c>
      <c r="L9" s="17">
        <v>0.145395183043421</v>
      </c>
      <c r="M9" s="17">
        <v>-5.8170180525809502E-3</v>
      </c>
      <c r="N9" s="25">
        <v>0.82382249951158404</v>
      </c>
      <c r="O9" s="25">
        <v>1.09479787913292</v>
      </c>
    </row>
    <row r="10" spans="1:15" x14ac:dyDescent="0.3">
      <c r="A10" s="2" t="s">
        <v>29</v>
      </c>
      <c r="B10" s="2" t="s">
        <v>33</v>
      </c>
      <c r="C10" s="2" t="s">
        <v>26</v>
      </c>
      <c r="D10" s="17">
        <v>0.45435849824386099</v>
      </c>
      <c r="E10" s="15">
        <v>26.543442612768199</v>
      </c>
      <c r="F10" s="15">
        <v>6456.0698223521504</v>
      </c>
      <c r="G10" s="3">
        <v>4.96</v>
      </c>
      <c r="H10" s="3">
        <v>4.38</v>
      </c>
      <c r="I10" s="3"/>
      <c r="J10" s="3">
        <v>26.54</v>
      </c>
      <c r="K10" s="17">
        <v>0.26554326688645802</v>
      </c>
      <c r="L10" s="17">
        <v>0.27020362519389601</v>
      </c>
      <c r="M10" s="17">
        <v>0.118533676731141</v>
      </c>
      <c r="N10" s="25">
        <v>0.74422044404690801</v>
      </c>
      <c r="O10" s="25">
        <v>1.1628702671801701</v>
      </c>
    </row>
    <row r="11" spans="1:15" x14ac:dyDescent="0.3">
      <c r="A11" s="2" t="s">
        <v>29</v>
      </c>
      <c r="B11" s="2" t="s">
        <v>34</v>
      </c>
      <c r="C11" s="2" t="s">
        <v>28</v>
      </c>
      <c r="D11" s="17">
        <v>0.41717571596004899</v>
      </c>
      <c r="E11" s="15">
        <v>7.2085356943310304</v>
      </c>
      <c r="F11" s="15">
        <v>6813.7585590447597</v>
      </c>
      <c r="G11" s="3">
        <v>5.14</v>
      </c>
      <c r="H11" s="3">
        <v>4.66</v>
      </c>
      <c r="I11" s="3"/>
      <c r="J11" s="3">
        <v>7.21</v>
      </c>
      <c r="K11" s="17">
        <v>0.172683718538376</v>
      </c>
      <c r="L11" s="17">
        <v>0.26376495922181098</v>
      </c>
      <c r="M11" s="17">
        <v>8.9765231488929897E-2</v>
      </c>
      <c r="N11" s="25">
        <v>0.830271153298764</v>
      </c>
      <c r="O11" s="25">
        <v>1.47955484039264</v>
      </c>
    </row>
    <row r="13" spans="1:15" x14ac:dyDescent="0.3">
      <c r="A13" s="38" t="s">
        <v>35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40"/>
    </row>
    <row r="17" spans="12:12" x14ac:dyDescent="0.3">
      <c r="L17" s="23"/>
    </row>
  </sheetData>
  <mergeCells count="1">
    <mergeCell ref="A13:O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pane ySplit="1" topLeftCell="A2" activePane="bottomLeft" state="frozen"/>
      <selection pane="bottomLeft" activeCell="N6" sqref="N6"/>
    </sheetView>
  </sheetViews>
  <sheetFormatPr defaultRowHeight="14.4" x14ac:dyDescent="0.3"/>
  <cols>
    <col min="1" max="1" width="32" customWidth="1"/>
    <col min="2" max="2" width="16" customWidth="1"/>
    <col min="3" max="14" width="22" customWidth="1"/>
  </cols>
  <sheetData>
    <row r="1" spans="1:14" ht="41.4" x14ac:dyDescent="0.3">
      <c r="A1" s="1" t="s">
        <v>0</v>
      </c>
      <c r="B1" s="1" t="s">
        <v>1</v>
      </c>
      <c r="C1" s="1" t="s">
        <v>2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8</v>
      </c>
      <c r="M1" s="1" t="s">
        <v>9</v>
      </c>
      <c r="N1" s="1" t="s">
        <v>64</v>
      </c>
    </row>
    <row r="2" spans="1:14" x14ac:dyDescent="0.3">
      <c r="A2" s="2" t="s">
        <v>18</v>
      </c>
      <c r="B2" s="2" t="s">
        <v>19</v>
      </c>
      <c r="C2" s="2" t="s">
        <v>20</v>
      </c>
      <c r="D2" s="3">
        <v>15288.35</v>
      </c>
      <c r="E2" s="3">
        <v>4248.13</v>
      </c>
      <c r="F2" s="3">
        <v>2484.84</v>
      </c>
      <c r="G2" s="3">
        <v>6438.05</v>
      </c>
      <c r="H2" s="3">
        <v>6466.17</v>
      </c>
      <c r="I2" s="3">
        <v>6762.36</v>
      </c>
      <c r="J2" s="3">
        <v>7902.99</v>
      </c>
      <c r="K2" s="3">
        <v>49590.89</v>
      </c>
      <c r="L2" s="3">
        <v>15579.56</v>
      </c>
      <c r="M2" s="3">
        <v>6020.5</v>
      </c>
      <c r="N2" s="3">
        <v>71190.95</v>
      </c>
    </row>
    <row r="3" spans="1:14" x14ac:dyDescent="0.3">
      <c r="A3" s="2" t="s">
        <v>18</v>
      </c>
      <c r="B3" s="2" t="s">
        <v>21</v>
      </c>
      <c r="C3" s="2" t="s">
        <v>22</v>
      </c>
      <c r="D3" s="3">
        <v>29457.78</v>
      </c>
      <c r="E3" s="3">
        <v>4977.4799999999996</v>
      </c>
      <c r="F3" s="3">
        <v>5919.21</v>
      </c>
      <c r="G3" s="3">
        <v>5616.86</v>
      </c>
      <c r="H3" s="3">
        <v>7590.55</v>
      </c>
      <c r="I3" s="3">
        <v>7273.99</v>
      </c>
      <c r="J3" s="3">
        <v>14007.5</v>
      </c>
      <c r="K3" s="3">
        <v>74843.37</v>
      </c>
      <c r="L3" s="3">
        <v>12897.32</v>
      </c>
      <c r="M3" s="3">
        <v>4825.79</v>
      </c>
      <c r="N3" s="3">
        <v>92566.48</v>
      </c>
    </row>
    <row r="4" spans="1:14" x14ac:dyDescent="0.3">
      <c r="A4" s="2" t="s">
        <v>18</v>
      </c>
      <c r="B4" s="2" t="s">
        <v>23</v>
      </c>
      <c r="C4" s="2" t="s">
        <v>24</v>
      </c>
      <c r="D4" s="3">
        <v>47716.54</v>
      </c>
      <c r="E4" s="3">
        <v>5594.85</v>
      </c>
      <c r="F4" s="3">
        <v>3755.73</v>
      </c>
      <c r="G4" s="3">
        <v>5450.65</v>
      </c>
      <c r="H4" s="3">
        <v>7955.15</v>
      </c>
      <c r="I4" s="3">
        <v>8438.7099999999991</v>
      </c>
      <c r="J4" s="3">
        <v>20017.23</v>
      </c>
      <c r="K4" s="3">
        <v>98928.86</v>
      </c>
      <c r="L4" s="3">
        <v>10193.64</v>
      </c>
      <c r="M4" s="3">
        <v>5056.51</v>
      </c>
      <c r="N4" s="3">
        <v>114179.01</v>
      </c>
    </row>
    <row r="5" spans="1:14" x14ac:dyDescent="0.3">
      <c r="A5" s="2" t="s">
        <v>18</v>
      </c>
      <c r="B5" s="2" t="s">
        <v>25</v>
      </c>
      <c r="C5" s="2" t="s">
        <v>26</v>
      </c>
      <c r="D5" s="3">
        <v>29825.62</v>
      </c>
      <c r="E5" s="3">
        <v>3224.62</v>
      </c>
      <c r="F5" s="3">
        <v>6381.98</v>
      </c>
      <c r="G5" s="3">
        <v>5046.7299999999996</v>
      </c>
      <c r="H5" s="3">
        <v>6995.94</v>
      </c>
      <c r="I5" s="3">
        <v>7705.43</v>
      </c>
      <c r="J5" s="3">
        <v>17791.37</v>
      </c>
      <c r="K5" s="3">
        <v>76971.69</v>
      </c>
      <c r="L5" s="3">
        <v>7479.13</v>
      </c>
      <c r="M5" s="3">
        <v>4613.26</v>
      </c>
      <c r="N5" s="3">
        <v>89064.08</v>
      </c>
    </row>
    <row r="6" spans="1:14" ht="15" thickBot="1" x14ac:dyDescent="0.35">
      <c r="A6" s="7" t="s">
        <v>18</v>
      </c>
      <c r="B6" s="7" t="s">
        <v>27</v>
      </c>
      <c r="C6" s="7" t="s">
        <v>28</v>
      </c>
      <c r="D6" s="11">
        <v>20515.89</v>
      </c>
      <c r="E6" s="11">
        <v>1957.93</v>
      </c>
      <c r="F6" s="11">
        <v>7120.34</v>
      </c>
      <c r="G6" s="11">
        <v>4035.59</v>
      </c>
      <c r="H6" s="11">
        <v>5434.36</v>
      </c>
      <c r="I6" s="11">
        <v>6177.02</v>
      </c>
      <c r="J6" s="11">
        <v>12254.58</v>
      </c>
      <c r="K6" s="11">
        <v>57495.71</v>
      </c>
      <c r="L6" s="11">
        <v>6376.98</v>
      </c>
      <c r="M6" s="11">
        <v>2908.08</v>
      </c>
      <c r="N6" s="11">
        <v>66780.77</v>
      </c>
    </row>
    <row r="7" spans="1:14" ht="15" thickTop="1" x14ac:dyDescent="0.3">
      <c r="A7" s="36" t="s">
        <v>29</v>
      </c>
      <c r="B7" s="36" t="s">
        <v>30</v>
      </c>
      <c r="C7" s="36" t="s">
        <v>20</v>
      </c>
      <c r="D7" s="33">
        <v>38312.769999999997</v>
      </c>
      <c r="E7" s="33">
        <v>0</v>
      </c>
      <c r="F7" s="33">
        <v>2804.57</v>
      </c>
      <c r="G7" s="33">
        <v>41912.6</v>
      </c>
      <c r="H7" s="33">
        <v>16128.84</v>
      </c>
      <c r="I7" s="33">
        <v>30261.95</v>
      </c>
      <c r="J7" s="33">
        <v>17240.14</v>
      </c>
      <c r="K7" s="33">
        <v>146660.87</v>
      </c>
      <c r="L7" s="33">
        <v>46986.85</v>
      </c>
      <c r="M7" s="33">
        <v>21419.83</v>
      </c>
      <c r="N7" s="33">
        <v>215067.55</v>
      </c>
    </row>
    <row r="8" spans="1:14" x14ac:dyDescent="0.3">
      <c r="A8" s="2" t="s">
        <v>29</v>
      </c>
      <c r="B8" s="2" t="s">
        <v>31</v>
      </c>
      <c r="C8" s="2" t="s">
        <v>22</v>
      </c>
      <c r="D8" s="3">
        <v>96952.36</v>
      </c>
      <c r="E8" s="3">
        <v>0</v>
      </c>
      <c r="F8" s="3">
        <v>3116.84</v>
      </c>
      <c r="G8" s="3">
        <v>60897.84</v>
      </c>
      <c r="H8" s="3">
        <v>22868.37</v>
      </c>
      <c r="I8" s="3">
        <v>31516.78</v>
      </c>
      <c r="J8" s="3">
        <v>38654.129999999997</v>
      </c>
      <c r="K8" s="3">
        <v>254006.32</v>
      </c>
      <c r="L8" s="3">
        <v>50678.47</v>
      </c>
      <c r="M8" s="3">
        <v>23580.15</v>
      </c>
      <c r="N8" s="3">
        <v>328264.94</v>
      </c>
    </row>
    <row r="9" spans="1:14" x14ac:dyDescent="0.3">
      <c r="A9" s="2" t="s">
        <v>29</v>
      </c>
      <c r="B9" s="2" t="s">
        <v>32</v>
      </c>
      <c r="C9" s="2" t="s">
        <v>24</v>
      </c>
      <c r="D9" s="3">
        <v>236460.17</v>
      </c>
      <c r="E9" s="3">
        <v>0</v>
      </c>
      <c r="F9" s="3">
        <v>3258.4</v>
      </c>
      <c r="G9" s="3">
        <v>80449.600000000006</v>
      </c>
      <c r="H9" s="3">
        <v>36468</v>
      </c>
      <c r="I9" s="3">
        <v>43246.559999999998</v>
      </c>
      <c r="J9" s="3">
        <v>79733.63</v>
      </c>
      <c r="K9" s="3">
        <v>479616.36</v>
      </c>
      <c r="L9" s="3">
        <v>51012.37</v>
      </c>
      <c r="M9" s="3">
        <v>31317.31</v>
      </c>
      <c r="N9" s="3">
        <v>561946.04</v>
      </c>
    </row>
    <row r="10" spans="1:14" x14ac:dyDescent="0.3">
      <c r="A10" s="2" t="s">
        <v>29</v>
      </c>
      <c r="B10" s="2" t="s">
        <v>33</v>
      </c>
      <c r="C10" s="2" t="s">
        <v>26</v>
      </c>
      <c r="D10" s="3">
        <v>239045.78</v>
      </c>
      <c r="E10" s="3">
        <v>0</v>
      </c>
      <c r="F10" s="3">
        <v>10751.95</v>
      </c>
      <c r="G10" s="3">
        <v>99316.24</v>
      </c>
      <c r="H10" s="3">
        <v>46239.43</v>
      </c>
      <c r="I10" s="3">
        <v>58377.3</v>
      </c>
      <c r="J10" s="3">
        <v>72386.41</v>
      </c>
      <c r="K10" s="3">
        <v>526117.11</v>
      </c>
      <c r="L10" s="3">
        <v>64056.09</v>
      </c>
      <c r="M10" s="3">
        <v>41693.53</v>
      </c>
      <c r="N10" s="3">
        <v>631866.73</v>
      </c>
    </row>
    <row r="11" spans="1:14" x14ac:dyDescent="0.3">
      <c r="A11" s="2" t="s">
        <v>29</v>
      </c>
      <c r="B11" s="2" t="s">
        <v>34</v>
      </c>
      <c r="C11" s="2" t="s">
        <v>28</v>
      </c>
      <c r="D11" s="3">
        <v>261973</v>
      </c>
      <c r="E11" s="3">
        <v>0</v>
      </c>
      <c r="F11" s="3">
        <v>30103</v>
      </c>
      <c r="G11" s="3">
        <v>112227</v>
      </c>
      <c r="H11" s="3">
        <v>57531</v>
      </c>
      <c r="I11" s="3">
        <v>67301</v>
      </c>
      <c r="J11" s="3">
        <v>98833</v>
      </c>
      <c r="K11" s="3">
        <v>627968</v>
      </c>
      <c r="L11" s="3">
        <v>86366</v>
      </c>
      <c r="M11" s="3">
        <v>50889</v>
      </c>
      <c r="N11" s="3">
        <v>765223</v>
      </c>
    </row>
    <row r="13" spans="1:14" x14ac:dyDescent="0.3">
      <c r="A13" s="38" t="s">
        <v>35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</sheetData>
  <mergeCells count="1">
    <mergeCell ref="A13:N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30.33203125" bestFit="1" customWidth="1"/>
    <col min="2" max="2" width="15.6640625" bestFit="1" customWidth="1"/>
    <col min="3" max="3" width="11.77734375" bestFit="1" customWidth="1"/>
    <col min="4" max="4" width="13.33203125" bestFit="1" customWidth="1"/>
    <col min="5" max="5" width="187.6640625" bestFit="1" customWidth="1"/>
    <col min="6" max="6" width="109" bestFit="1" customWidth="1"/>
    <col min="7" max="7" width="74.77734375" bestFit="1" customWidth="1"/>
  </cols>
  <sheetData>
    <row r="1" spans="1:7" ht="41.4" x14ac:dyDescent="0.3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s="2" t="s">
        <v>18</v>
      </c>
      <c r="B2" s="2" t="s">
        <v>19</v>
      </c>
      <c r="C2" s="2" t="s">
        <v>20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7" x14ac:dyDescent="0.3">
      <c r="A3" s="2" t="s">
        <v>18</v>
      </c>
      <c r="B3" s="2" t="s">
        <v>19</v>
      </c>
      <c r="C3" s="2" t="s">
        <v>20</v>
      </c>
      <c r="D3" s="3" t="s">
        <v>74</v>
      </c>
      <c r="E3" s="3" t="s">
        <v>75</v>
      </c>
      <c r="F3" s="3" t="s">
        <v>76</v>
      </c>
      <c r="G3" s="3" t="s">
        <v>77</v>
      </c>
    </row>
    <row r="4" spans="1:7" x14ac:dyDescent="0.3">
      <c r="A4" s="2" t="s">
        <v>18</v>
      </c>
      <c r="B4" s="2" t="s">
        <v>21</v>
      </c>
      <c r="C4" s="2" t="s">
        <v>22</v>
      </c>
      <c r="D4" s="3" t="s">
        <v>74</v>
      </c>
      <c r="E4" s="3" t="s">
        <v>78</v>
      </c>
      <c r="F4" s="3" t="s">
        <v>79</v>
      </c>
      <c r="G4" s="3" t="s">
        <v>80</v>
      </c>
    </row>
    <row r="5" spans="1:7" x14ac:dyDescent="0.3">
      <c r="A5" s="2" t="s">
        <v>18</v>
      </c>
      <c r="B5" s="2" t="s">
        <v>21</v>
      </c>
      <c r="C5" s="2" t="s">
        <v>22</v>
      </c>
      <c r="D5" s="3" t="s">
        <v>81</v>
      </c>
      <c r="E5" s="3" t="s">
        <v>82</v>
      </c>
      <c r="F5" s="3" t="s">
        <v>83</v>
      </c>
      <c r="G5" s="3" t="s">
        <v>84</v>
      </c>
    </row>
    <row r="6" spans="1:7" x14ac:dyDescent="0.3">
      <c r="A6" s="2" t="s">
        <v>18</v>
      </c>
      <c r="B6" s="2" t="s">
        <v>23</v>
      </c>
      <c r="C6" s="2" t="s">
        <v>24</v>
      </c>
      <c r="D6" s="3" t="s">
        <v>85</v>
      </c>
      <c r="E6" s="3" t="s">
        <v>86</v>
      </c>
      <c r="F6" s="3" t="s">
        <v>87</v>
      </c>
      <c r="G6" s="3" t="s">
        <v>88</v>
      </c>
    </row>
    <row r="7" spans="1:7" x14ac:dyDescent="0.3">
      <c r="A7" s="2" t="s">
        <v>18</v>
      </c>
      <c r="B7" s="2" t="s">
        <v>23</v>
      </c>
      <c r="C7" s="2" t="s">
        <v>24</v>
      </c>
      <c r="D7" s="3" t="s">
        <v>89</v>
      </c>
      <c r="E7" s="3" t="s">
        <v>90</v>
      </c>
      <c r="F7" s="3" t="s">
        <v>91</v>
      </c>
      <c r="G7" s="3" t="s">
        <v>92</v>
      </c>
    </row>
    <row r="8" spans="1:7" x14ac:dyDescent="0.3">
      <c r="A8" s="2" t="s">
        <v>18</v>
      </c>
      <c r="B8" s="2" t="s">
        <v>23</v>
      </c>
      <c r="C8" s="2" t="s">
        <v>24</v>
      </c>
      <c r="D8" s="3" t="s">
        <v>93</v>
      </c>
      <c r="E8" s="3" t="s">
        <v>94</v>
      </c>
      <c r="F8" s="3" t="s">
        <v>95</v>
      </c>
      <c r="G8" s="3" t="s">
        <v>96</v>
      </c>
    </row>
    <row r="9" spans="1:7" x14ac:dyDescent="0.3">
      <c r="A9" s="2" t="s">
        <v>18</v>
      </c>
      <c r="B9" s="2" t="s">
        <v>25</v>
      </c>
      <c r="C9" s="2" t="s">
        <v>26</v>
      </c>
      <c r="D9" s="3" t="s">
        <v>74</v>
      </c>
      <c r="E9" s="3" t="s">
        <v>97</v>
      </c>
      <c r="F9" s="3" t="s">
        <v>98</v>
      </c>
      <c r="G9" s="3" t="s">
        <v>99</v>
      </c>
    </row>
    <row r="10" spans="1:7" x14ac:dyDescent="0.3">
      <c r="A10" s="2" t="s">
        <v>18</v>
      </c>
      <c r="B10" s="2" t="s">
        <v>25</v>
      </c>
      <c r="C10" s="2" t="s">
        <v>26</v>
      </c>
      <c r="D10" s="3" t="s">
        <v>100</v>
      </c>
      <c r="E10" s="3" t="s">
        <v>101</v>
      </c>
      <c r="F10" s="3" t="s">
        <v>102</v>
      </c>
      <c r="G10" s="3" t="s">
        <v>103</v>
      </c>
    </row>
    <row r="11" spans="1:7" x14ac:dyDescent="0.3">
      <c r="A11" s="2" t="s">
        <v>18</v>
      </c>
      <c r="B11" s="2" t="s">
        <v>27</v>
      </c>
      <c r="C11" s="2" t="s">
        <v>28</v>
      </c>
      <c r="D11" s="3" t="s">
        <v>89</v>
      </c>
      <c r="E11" s="3" t="s">
        <v>104</v>
      </c>
      <c r="F11" s="3" t="s">
        <v>105</v>
      </c>
      <c r="G11" s="3" t="s">
        <v>106</v>
      </c>
    </row>
    <row r="12" spans="1:7" x14ac:dyDescent="0.3">
      <c r="A12" s="2" t="s">
        <v>18</v>
      </c>
      <c r="B12" s="2" t="s">
        <v>27</v>
      </c>
      <c r="C12" s="2" t="s">
        <v>28</v>
      </c>
      <c r="D12" s="3" t="s">
        <v>81</v>
      </c>
      <c r="E12" s="3" t="s">
        <v>107</v>
      </c>
      <c r="F12" s="3" t="s">
        <v>108</v>
      </c>
      <c r="G12" s="3" t="s">
        <v>109</v>
      </c>
    </row>
    <row r="13" spans="1:7" ht="15" thickBot="1" x14ac:dyDescent="0.35">
      <c r="A13" s="7" t="s">
        <v>18</v>
      </c>
      <c r="B13" s="7" t="s">
        <v>27</v>
      </c>
      <c r="C13" s="7" t="s">
        <v>28</v>
      </c>
      <c r="D13" s="11" t="s">
        <v>93</v>
      </c>
      <c r="E13" s="11" t="s">
        <v>110</v>
      </c>
      <c r="F13" s="11" t="s">
        <v>111</v>
      </c>
      <c r="G13" s="11" t="s">
        <v>112</v>
      </c>
    </row>
    <row r="14" spans="1:7" ht="15" thickTop="1" x14ac:dyDescent="0.3">
      <c r="A14" s="9" t="s">
        <v>29</v>
      </c>
      <c r="B14" s="9" t="s">
        <v>30</v>
      </c>
      <c r="C14" s="9" t="s">
        <v>20</v>
      </c>
      <c r="D14" s="12" t="s">
        <v>70</v>
      </c>
      <c r="E14" s="12" t="s">
        <v>113</v>
      </c>
      <c r="F14" s="12" t="s">
        <v>114</v>
      </c>
      <c r="G14" s="12" t="s">
        <v>115</v>
      </c>
    </row>
    <row r="15" spans="1:7" x14ac:dyDescent="0.3">
      <c r="A15" s="2" t="s">
        <v>29</v>
      </c>
      <c r="B15" s="2" t="s">
        <v>30</v>
      </c>
      <c r="C15" s="2" t="s">
        <v>20</v>
      </c>
      <c r="D15" s="3" t="s">
        <v>116</v>
      </c>
      <c r="E15" s="3" t="s">
        <v>117</v>
      </c>
      <c r="F15" s="3" t="s">
        <v>118</v>
      </c>
      <c r="G15" s="3" t="s">
        <v>119</v>
      </c>
    </row>
    <row r="16" spans="1:7" x14ac:dyDescent="0.3">
      <c r="A16" s="2" t="s">
        <v>29</v>
      </c>
      <c r="B16" s="2" t="s">
        <v>31</v>
      </c>
      <c r="C16" s="2" t="s">
        <v>22</v>
      </c>
      <c r="D16" s="3" t="s">
        <v>81</v>
      </c>
      <c r="E16" s="3" t="s">
        <v>120</v>
      </c>
      <c r="F16" s="3" t="s">
        <v>121</v>
      </c>
      <c r="G16" s="3" t="s">
        <v>122</v>
      </c>
    </row>
    <row r="17" spans="1:7" x14ac:dyDescent="0.3">
      <c r="A17" s="2" t="s">
        <v>29</v>
      </c>
      <c r="B17" s="2" t="s">
        <v>31</v>
      </c>
      <c r="C17" s="2" t="s">
        <v>22</v>
      </c>
      <c r="D17" s="3" t="s">
        <v>74</v>
      </c>
      <c r="E17" s="3" t="s">
        <v>123</v>
      </c>
      <c r="F17" s="3" t="s">
        <v>124</v>
      </c>
      <c r="G17" s="3" t="s">
        <v>125</v>
      </c>
    </row>
    <row r="18" spans="1:7" x14ac:dyDescent="0.3">
      <c r="A18" s="2" t="s">
        <v>29</v>
      </c>
      <c r="B18" s="2" t="s">
        <v>32</v>
      </c>
      <c r="C18" s="2" t="s">
        <v>24</v>
      </c>
      <c r="D18" s="3" t="s">
        <v>74</v>
      </c>
      <c r="E18" s="3" t="s">
        <v>126</v>
      </c>
      <c r="F18" s="3" t="s">
        <v>127</v>
      </c>
      <c r="G18" s="3" t="s">
        <v>128</v>
      </c>
    </row>
    <row r="19" spans="1:7" x14ac:dyDescent="0.3">
      <c r="A19" s="2" t="s">
        <v>29</v>
      </c>
      <c r="B19" s="2" t="s">
        <v>32</v>
      </c>
      <c r="C19" s="2" t="s">
        <v>24</v>
      </c>
      <c r="D19" s="3" t="s">
        <v>93</v>
      </c>
      <c r="E19" s="3" t="s">
        <v>129</v>
      </c>
      <c r="F19" s="3" t="s">
        <v>130</v>
      </c>
      <c r="G19" s="3" t="s">
        <v>131</v>
      </c>
    </row>
    <row r="20" spans="1:7" x14ac:dyDescent="0.3">
      <c r="A20" s="2" t="s">
        <v>29</v>
      </c>
      <c r="B20" s="2" t="s">
        <v>32</v>
      </c>
      <c r="C20" s="2" t="s">
        <v>24</v>
      </c>
      <c r="D20" s="3" t="s">
        <v>132</v>
      </c>
      <c r="E20" s="3" t="s">
        <v>133</v>
      </c>
      <c r="F20" s="3" t="s">
        <v>134</v>
      </c>
      <c r="G20" s="3" t="s">
        <v>135</v>
      </c>
    </row>
    <row r="21" spans="1:7" x14ac:dyDescent="0.3">
      <c r="A21" s="2" t="s">
        <v>29</v>
      </c>
      <c r="B21" s="2" t="s">
        <v>33</v>
      </c>
      <c r="C21" s="2" t="s">
        <v>26</v>
      </c>
      <c r="D21" s="3" t="s">
        <v>81</v>
      </c>
      <c r="E21" s="3" t="s">
        <v>136</v>
      </c>
      <c r="F21" s="3" t="s">
        <v>137</v>
      </c>
      <c r="G21" s="3" t="s">
        <v>138</v>
      </c>
    </row>
    <row r="22" spans="1:7" x14ac:dyDescent="0.3">
      <c r="A22" s="2" t="s">
        <v>29</v>
      </c>
      <c r="B22" s="2" t="s">
        <v>33</v>
      </c>
      <c r="C22" s="2" t="s">
        <v>26</v>
      </c>
      <c r="D22" s="3" t="s">
        <v>93</v>
      </c>
      <c r="E22" s="3" t="s">
        <v>139</v>
      </c>
      <c r="F22" s="3" t="s">
        <v>140</v>
      </c>
      <c r="G22" s="3" t="s">
        <v>141</v>
      </c>
    </row>
    <row r="23" spans="1:7" x14ac:dyDescent="0.3">
      <c r="A23" s="2" t="s">
        <v>29</v>
      </c>
      <c r="B23" s="2" t="s">
        <v>34</v>
      </c>
      <c r="C23" s="2" t="s">
        <v>28</v>
      </c>
      <c r="D23" s="3" t="s">
        <v>142</v>
      </c>
      <c r="E23" s="3" t="s">
        <v>143</v>
      </c>
      <c r="F23" s="3" t="s">
        <v>144</v>
      </c>
      <c r="G23" s="3" t="s">
        <v>145</v>
      </c>
    </row>
    <row r="24" spans="1:7" x14ac:dyDescent="0.3">
      <c r="A24" s="2" t="s">
        <v>29</v>
      </c>
      <c r="B24" s="2" t="s">
        <v>34</v>
      </c>
      <c r="C24" s="2" t="s">
        <v>28</v>
      </c>
      <c r="D24" s="3" t="s">
        <v>81</v>
      </c>
      <c r="E24" s="3" t="s">
        <v>146</v>
      </c>
      <c r="F24" s="3" t="s">
        <v>147</v>
      </c>
      <c r="G24" s="3" t="s">
        <v>148</v>
      </c>
    </row>
    <row r="25" spans="1:7" x14ac:dyDescent="0.3">
      <c r="A25" s="2" t="s">
        <v>29</v>
      </c>
      <c r="B25" s="2" t="s">
        <v>34</v>
      </c>
      <c r="C25" s="2" t="s">
        <v>28</v>
      </c>
      <c r="D25" s="3" t="s">
        <v>149</v>
      </c>
      <c r="E25" s="3" t="s">
        <v>150</v>
      </c>
      <c r="F25" s="3" t="s">
        <v>151</v>
      </c>
      <c r="G25" s="3" t="s">
        <v>152</v>
      </c>
    </row>
    <row r="27" spans="1:7" x14ac:dyDescent="0.3">
      <c r="A27" s="38" t="s">
        <v>35</v>
      </c>
      <c r="B27" s="39"/>
      <c r="C27" s="39"/>
      <c r="D27" s="39"/>
      <c r="E27" s="39"/>
      <c r="F27" s="39"/>
      <c r="G27" s="39"/>
    </row>
  </sheetData>
  <mergeCells count="1">
    <mergeCell ref="A27:G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2F97-7B8C-4691-9F7F-88D5D574A2A1}">
  <dimension ref="A3:I34"/>
  <sheetViews>
    <sheetView showGridLines="0" zoomScale="44" zoomScaleNormal="76" workbookViewId="0">
      <pane ySplit="1" topLeftCell="A7" activePane="bottomLeft" state="frozen"/>
      <selection pane="bottomLeft" activeCell="I68" sqref="I68"/>
    </sheetView>
  </sheetViews>
  <sheetFormatPr defaultRowHeight="14.4" x14ac:dyDescent="0.3"/>
  <cols>
    <col min="1" max="1" width="11.21875" bestFit="1" customWidth="1"/>
    <col min="2" max="2" width="32.88671875" bestFit="1" customWidth="1"/>
    <col min="3" max="3" width="14.88671875" bestFit="1" customWidth="1"/>
    <col min="4" max="4" width="6.6640625" customWidth="1"/>
    <col min="5" max="5" width="11.21875" bestFit="1" customWidth="1"/>
    <col min="6" max="6" width="35.77734375" bestFit="1" customWidth="1"/>
    <col min="7" max="7" width="16" bestFit="1" customWidth="1"/>
    <col min="8" max="8" width="17.77734375" bestFit="1" customWidth="1"/>
    <col min="9" max="9" width="16" bestFit="1" customWidth="1"/>
  </cols>
  <sheetData>
    <row r="3" spans="1:9" x14ac:dyDescent="0.3">
      <c r="A3" s="5" t="s">
        <v>160</v>
      </c>
      <c r="F3" t="s">
        <v>29</v>
      </c>
      <c r="H3" t="s">
        <v>18</v>
      </c>
    </row>
    <row r="4" spans="1:9" x14ac:dyDescent="0.3">
      <c r="B4" t="s">
        <v>29</v>
      </c>
      <c r="C4" t="s">
        <v>18</v>
      </c>
      <c r="F4" t="s">
        <v>162</v>
      </c>
      <c r="G4" t="s">
        <v>163</v>
      </c>
      <c r="H4" t="s">
        <v>162</v>
      </c>
      <c r="I4" t="s">
        <v>163</v>
      </c>
    </row>
    <row r="5" spans="1:9" x14ac:dyDescent="0.3">
      <c r="A5" s="6" t="s">
        <v>20</v>
      </c>
      <c r="B5" s="41">
        <v>146406.31</v>
      </c>
      <c r="C5" s="41">
        <v>51333.77</v>
      </c>
      <c r="E5" s="6" t="s">
        <v>20</v>
      </c>
      <c r="F5" s="41">
        <v>206151.87</v>
      </c>
      <c r="G5" s="41">
        <v>189017.72</v>
      </c>
      <c r="H5" s="41">
        <v>25784.2</v>
      </c>
      <c r="I5" s="41">
        <v>77642.570000000007</v>
      </c>
    </row>
    <row r="6" spans="1:9" x14ac:dyDescent="0.3">
      <c r="A6" s="6" t="s">
        <v>22</v>
      </c>
      <c r="B6" s="41">
        <v>259309.27</v>
      </c>
      <c r="C6" s="41">
        <v>65573.27</v>
      </c>
      <c r="E6" s="6" t="s">
        <v>22</v>
      </c>
      <c r="F6" s="41">
        <v>201470.88</v>
      </c>
      <c r="G6" s="41">
        <v>223853.28</v>
      </c>
      <c r="H6" s="41">
        <v>21205.37</v>
      </c>
      <c r="I6" s="41">
        <v>85292.04</v>
      </c>
    </row>
    <row r="7" spans="1:9" x14ac:dyDescent="0.3">
      <c r="A7" s="6" t="s">
        <v>24</v>
      </c>
      <c r="B7" s="41">
        <v>544464.53</v>
      </c>
      <c r="C7" s="41">
        <v>88688.4</v>
      </c>
      <c r="E7" s="6" t="s">
        <v>24</v>
      </c>
      <c r="F7" s="41">
        <v>260713.47</v>
      </c>
      <c r="G7" s="41">
        <v>238138.45</v>
      </c>
      <c r="H7" s="41">
        <v>21183.77</v>
      </c>
      <c r="I7" s="41">
        <v>96993.38</v>
      </c>
    </row>
    <row r="8" spans="1:9" x14ac:dyDescent="0.3">
      <c r="A8" s="6" t="s">
        <v>26</v>
      </c>
      <c r="B8" s="41">
        <v>689043.42</v>
      </c>
      <c r="C8" s="41">
        <v>70499.740000000005</v>
      </c>
      <c r="E8" s="6" t="s">
        <v>26</v>
      </c>
      <c r="F8" s="41">
        <v>357525.58</v>
      </c>
      <c r="G8" s="41">
        <v>307450.96000000002</v>
      </c>
      <c r="H8" s="41">
        <v>24727.26</v>
      </c>
      <c r="I8" s="41">
        <v>89558.73</v>
      </c>
    </row>
    <row r="9" spans="1:9" x14ac:dyDescent="0.3">
      <c r="A9" s="6" t="s">
        <v>28</v>
      </c>
      <c r="B9" s="41">
        <v>808030</v>
      </c>
      <c r="C9" s="41">
        <v>52839.97</v>
      </c>
      <c r="E9" s="6" t="s">
        <v>28</v>
      </c>
      <c r="F9" s="41">
        <v>504796</v>
      </c>
      <c r="G9" s="41">
        <v>341181</v>
      </c>
      <c r="H9" s="41">
        <v>27242.38</v>
      </c>
      <c r="I9" s="41">
        <v>65693.05</v>
      </c>
    </row>
    <row r="10" spans="1:9" x14ac:dyDescent="0.3">
      <c r="A10" s="6" t="s">
        <v>153</v>
      </c>
      <c r="B10" s="41">
        <v>2447253.5300000003</v>
      </c>
      <c r="C10" s="41">
        <v>328935.15000000002</v>
      </c>
      <c r="E10" s="6" t="s">
        <v>153</v>
      </c>
      <c r="F10" s="41">
        <v>1530657.8</v>
      </c>
      <c r="G10" s="41">
        <v>1299641.4099999999</v>
      </c>
      <c r="H10" s="41">
        <v>120142.98</v>
      </c>
      <c r="I10" s="41">
        <v>415179.76999999996</v>
      </c>
    </row>
    <row r="27" spans="1:7" x14ac:dyDescent="0.3">
      <c r="A27" s="5" t="s">
        <v>161</v>
      </c>
      <c r="E27" s="5" t="s">
        <v>164</v>
      </c>
    </row>
    <row r="28" spans="1:7" x14ac:dyDescent="0.3">
      <c r="B28" t="s">
        <v>29</v>
      </c>
      <c r="C28" t="s">
        <v>18</v>
      </c>
      <c r="F28" t="s">
        <v>29</v>
      </c>
      <c r="G28" t="s">
        <v>18</v>
      </c>
    </row>
    <row r="29" spans="1:7" x14ac:dyDescent="0.3">
      <c r="A29" s="6" t="s">
        <v>20</v>
      </c>
      <c r="B29" s="41">
        <v>-58297.919999999998</v>
      </c>
      <c r="C29" s="41">
        <v>-9983.02</v>
      </c>
      <c r="E29" s="6" t="s">
        <v>20</v>
      </c>
      <c r="F29" s="41">
        <v>-16204.04</v>
      </c>
      <c r="G29" s="41">
        <v>2259.17</v>
      </c>
    </row>
    <row r="30" spans="1:7" x14ac:dyDescent="0.3">
      <c r="A30" s="6" t="s">
        <v>22</v>
      </c>
      <c r="B30" s="41">
        <v>-61710.25</v>
      </c>
      <c r="C30" s="41">
        <v>-17254.650000000001</v>
      </c>
      <c r="E30" s="6" t="s">
        <v>22</v>
      </c>
      <c r="F30" s="41">
        <v>20641.009999999998</v>
      </c>
      <c r="G30" s="41">
        <v>9776.83</v>
      </c>
    </row>
    <row r="31" spans="1:7" x14ac:dyDescent="0.3">
      <c r="A31" s="6" t="s">
        <v>24</v>
      </c>
      <c r="B31" s="41">
        <v>-3167.16</v>
      </c>
      <c r="C31" s="41">
        <v>-15030.15</v>
      </c>
      <c r="E31" s="6" t="s">
        <v>24</v>
      </c>
      <c r="F31" s="41">
        <v>127031.4</v>
      </c>
      <c r="G31" s="41">
        <v>929.81</v>
      </c>
    </row>
    <row r="32" spans="1:7" x14ac:dyDescent="0.3">
      <c r="A32" s="6" t="s">
        <v>26</v>
      </c>
      <c r="B32" s="41">
        <v>81674.850000000006</v>
      </c>
      <c r="C32" s="41">
        <v>-4094.39</v>
      </c>
      <c r="E32" s="6" t="s">
        <v>26</v>
      </c>
      <c r="F32" s="41">
        <v>211828</v>
      </c>
      <c r="G32" s="41">
        <v>-6134.17</v>
      </c>
    </row>
    <row r="33" spans="1:7" x14ac:dyDescent="0.3">
      <c r="A33" s="6" t="s">
        <v>28</v>
      </c>
      <c r="B33" s="41">
        <v>72533</v>
      </c>
      <c r="C33" s="41">
        <v>580.74</v>
      </c>
      <c r="E33" s="6" t="s">
        <v>28</v>
      </c>
      <c r="F33" s="41">
        <v>240647</v>
      </c>
      <c r="G33" s="41">
        <v>-16650.740000000002</v>
      </c>
    </row>
    <row r="34" spans="1:7" x14ac:dyDescent="0.3">
      <c r="A34" s="6" t="s">
        <v>153</v>
      </c>
      <c r="B34" s="41">
        <v>31032.520000000004</v>
      </c>
      <c r="C34" s="41">
        <v>-45781.47</v>
      </c>
      <c r="E34" s="6" t="s">
        <v>153</v>
      </c>
      <c r="F34" s="41">
        <v>583943.37</v>
      </c>
      <c r="G34" s="41">
        <v>-9819.1000000000022</v>
      </c>
    </row>
  </sheetData>
  <pageMargins left="0.7" right="0.7" top="0.75" bottom="0.75" header="0.3" footer="0.3"/>
  <pageSetup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DDED-AF69-4849-AACB-BE0954B2705A}">
  <dimension ref="A3:I31"/>
  <sheetViews>
    <sheetView showGridLines="0" zoomScale="74" workbookViewId="0">
      <pane ySplit="1" topLeftCell="A2" activePane="bottomLeft" state="frozen"/>
      <selection pane="bottomLeft" activeCell="A34" sqref="A34"/>
    </sheetView>
  </sheetViews>
  <sheetFormatPr defaultRowHeight="14.4" x14ac:dyDescent="0.3"/>
  <cols>
    <col min="1" max="1" width="77.109375" bestFit="1" customWidth="1"/>
    <col min="2" max="2" width="44.21875" bestFit="1" customWidth="1"/>
    <col min="3" max="3" width="21" bestFit="1" customWidth="1"/>
    <col min="4" max="4" width="10.77734375" bestFit="1" customWidth="1"/>
    <col min="5" max="5" width="11.5546875" bestFit="1" customWidth="1"/>
    <col min="6" max="6" width="36.77734375" bestFit="1" customWidth="1"/>
    <col min="7" max="7" width="22.6640625" bestFit="1" customWidth="1"/>
    <col min="8" max="8" width="18.33203125" bestFit="1" customWidth="1"/>
    <col min="9" max="9" width="22.6640625" bestFit="1" customWidth="1"/>
    <col min="10" max="10" width="35.6640625" bestFit="1" customWidth="1"/>
    <col min="11" max="11" width="40.21875" bestFit="1" customWidth="1"/>
  </cols>
  <sheetData>
    <row r="3" spans="1:9" x14ac:dyDescent="0.3">
      <c r="A3" s="5" t="s">
        <v>165</v>
      </c>
      <c r="F3" t="s">
        <v>29</v>
      </c>
      <c r="H3" t="s">
        <v>18</v>
      </c>
    </row>
    <row r="4" spans="1:9" x14ac:dyDescent="0.3">
      <c r="B4" t="s">
        <v>29</v>
      </c>
      <c r="C4" t="s">
        <v>18</v>
      </c>
      <c r="F4" t="s">
        <v>167</v>
      </c>
      <c r="G4" t="s">
        <v>168</v>
      </c>
      <c r="H4" t="s">
        <v>167</v>
      </c>
      <c r="I4" t="s">
        <v>168</v>
      </c>
    </row>
    <row r="5" spans="1:9" x14ac:dyDescent="0.3">
      <c r="A5" s="6" t="s">
        <v>20</v>
      </c>
      <c r="B5" s="42">
        <v>285</v>
      </c>
      <c r="C5" s="42">
        <v>98</v>
      </c>
      <c r="E5" s="6" t="s">
        <v>20</v>
      </c>
      <c r="F5" s="42">
        <v>45425</v>
      </c>
      <c r="G5" s="42">
        <v>31519</v>
      </c>
      <c r="H5" s="42">
        <v>11892</v>
      </c>
      <c r="I5" s="42">
        <v>9156.84</v>
      </c>
    </row>
    <row r="6" spans="1:9" x14ac:dyDescent="0.3">
      <c r="A6" s="6" t="s">
        <v>22</v>
      </c>
      <c r="B6" s="42">
        <v>275</v>
      </c>
      <c r="C6" s="42">
        <v>88</v>
      </c>
      <c r="E6" s="6" t="s">
        <v>22</v>
      </c>
      <c r="F6" s="42">
        <v>70386</v>
      </c>
      <c r="G6" s="42">
        <v>51774</v>
      </c>
      <c r="H6" s="42">
        <v>13152</v>
      </c>
      <c r="I6" s="42">
        <v>10521.6</v>
      </c>
    </row>
    <row r="7" spans="1:9" x14ac:dyDescent="0.3">
      <c r="A7" s="6" t="s">
        <v>24</v>
      </c>
      <c r="B7" s="42">
        <v>304</v>
      </c>
      <c r="C7" s="42">
        <v>76</v>
      </c>
      <c r="E7" s="6" t="s">
        <v>24</v>
      </c>
      <c r="F7" s="42">
        <v>114359</v>
      </c>
      <c r="G7" s="42">
        <v>93889</v>
      </c>
      <c r="H7" s="42">
        <v>18251</v>
      </c>
      <c r="I7" s="42">
        <v>15878.37</v>
      </c>
    </row>
    <row r="8" spans="1:9" x14ac:dyDescent="0.3">
      <c r="A8" s="6" t="s">
        <v>26</v>
      </c>
      <c r="B8" s="42">
        <v>367</v>
      </c>
      <c r="C8" s="42">
        <v>65</v>
      </c>
      <c r="E8" s="6" t="s">
        <v>26</v>
      </c>
      <c r="F8" s="42">
        <v>139281</v>
      </c>
      <c r="G8" s="42">
        <v>119703</v>
      </c>
      <c r="H8" s="42">
        <v>13623</v>
      </c>
      <c r="I8" s="42">
        <v>12260.7</v>
      </c>
    </row>
    <row r="9" spans="1:9" x14ac:dyDescent="0.3">
      <c r="A9" s="6" t="s">
        <v>28</v>
      </c>
      <c r="B9" s="42">
        <v>434</v>
      </c>
      <c r="C9" s="42">
        <v>61</v>
      </c>
      <c r="E9" s="6" t="s">
        <v>28</v>
      </c>
      <c r="F9" s="42">
        <v>157474</v>
      </c>
      <c r="G9" s="42">
        <v>135378</v>
      </c>
      <c r="H9" s="42">
        <v>10210</v>
      </c>
      <c r="I9" s="42">
        <v>8984.7999999999993</v>
      </c>
    </row>
    <row r="10" spans="1:9" x14ac:dyDescent="0.3">
      <c r="A10" s="6" t="s">
        <v>153</v>
      </c>
      <c r="B10" s="42">
        <v>1665</v>
      </c>
      <c r="C10" s="42">
        <v>388</v>
      </c>
      <c r="E10" s="6" t="s">
        <v>153</v>
      </c>
      <c r="F10" s="42">
        <v>526925</v>
      </c>
      <c r="G10" s="42">
        <v>432263</v>
      </c>
      <c r="H10" s="42">
        <v>67128</v>
      </c>
      <c r="I10" s="42">
        <v>56802.310000000012</v>
      </c>
    </row>
    <row r="14" spans="1:9" x14ac:dyDescent="0.3">
      <c r="A14" s="5" t="s">
        <v>166</v>
      </c>
    </row>
    <row r="15" spans="1:9" x14ac:dyDescent="0.3">
      <c r="B15" t="s">
        <v>29</v>
      </c>
      <c r="C15" t="s">
        <v>18</v>
      </c>
    </row>
    <row r="16" spans="1:9" x14ac:dyDescent="0.3">
      <c r="A16" s="6" t="s">
        <v>20</v>
      </c>
      <c r="B16" s="42">
        <v>30.693999999999999</v>
      </c>
      <c r="C16" s="42">
        <v>7.76</v>
      </c>
    </row>
    <row r="17" spans="1:3" x14ac:dyDescent="0.3">
      <c r="A17" s="6" t="s">
        <v>22</v>
      </c>
      <c r="B17" s="42">
        <v>49.802999999999997</v>
      </c>
      <c r="C17" s="42">
        <v>9.18</v>
      </c>
    </row>
    <row r="18" spans="1:3" x14ac:dyDescent="0.3">
      <c r="A18" s="6" t="s">
        <v>24</v>
      </c>
      <c r="B18" s="42">
        <v>85.590999999999994</v>
      </c>
      <c r="C18" s="42">
        <v>12.74</v>
      </c>
    </row>
    <row r="19" spans="1:3" x14ac:dyDescent="0.3">
      <c r="A19" s="6" t="s">
        <v>26</v>
      </c>
      <c r="B19" s="42">
        <v>106.72799999999999</v>
      </c>
      <c r="C19" s="42">
        <v>9.7799999999999994</v>
      </c>
    </row>
    <row r="20" spans="1:3" x14ac:dyDescent="0.3">
      <c r="A20" s="6" t="s">
        <v>28</v>
      </c>
      <c r="B20" s="42">
        <v>118.58799999999999</v>
      </c>
      <c r="C20" s="42">
        <v>6.94</v>
      </c>
    </row>
    <row r="21" spans="1:3" x14ac:dyDescent="0.3">
      <c r="A21" s="6" t="s">
        <v>153</v>
      </c>
      <c r="B21" s="42">
        <v>391.404</v>
      </c>
      <c r="C21" s="42">
        <v>46.4</v>
      </c>
    </row>
    <row r="24" spans="1:3" x14ac:dyDescent="0.3">
      <c r="A24" s="5" t="s">
        <v>154</v>
      </c>
    </row>
    <row r="25" spans="1:3" x14ac:dyDescent="0.3">
      <c r="B25" t="s">
        <v>29</v>
      </c>
      <c r="C25" t="s">
        <v>18</v>
      </c>
    </row>
    <row r="26" spans="1:3" x14ac:dyDescent="0.3">
      <c r="A26" s="6" t="s">
        <v>20</v>
      </c>
      <c r="B26" s="42">
        <v>0.54</v>
      </c>
      <c r="C26" s="42">
        <v>9.4E-2</v>
      </c>
    </row>
    <row r="27" spans="1:3" x14ac:dyDescent="0.3">
      <c r="A27" s="6" t="s">
        <v>22</v>
      </c>
      <c r="B27" s="42">
        <v>0.53800000000000003</v>
      </c>
      <c r="C27" s="42">
        <v>0.10199999999999999</v>
      </c>
    </row>
    <row r="28" spans="1:3" x14ac:dyDescent="0.3">
      <c r="A28" s="6" t="s">
        <v>24</v>
      </c>
      <c r="B28" s="42">
        <v>0.55700000000000005</v>
      </c>
      <c r="C28" s="42">
        <v>6.4000000000000001E-2</v>
      </c>
    </row>
    <row r="29" spans="1:3" x14ac:dyDescent="0.3">
      <c r="A29" s="6" t="s">
        <v>26</v>
      </c>
      <c r="B29" s="42">
        <v>0.60499999999999998</v>
      </c>
      <c r="C29" s="42">
        <v>5.2999999999999999E-2</v>
      </c>
    </row>
    <row r="30" spans="1:3" x14ac:dyDescent="0.3">
      <c r="A30" s="6" t="s">
        <v>28</v>
      </c>
      <c r="B30" s="42">
        <v>0.62</v>
      </c>
      <c r="C30" s="42">
        <v>3.3000000000000002E-2</v>
      </c>
    </row>
    <row r="31" spans="1:3" x14ac:dyDescent="0.3">
      <c r="A31" s="6" t="s">
        <v>153</v>
      </c>
      <c r="B31" s="42">
        <v>2.8600000000000003</v>
      </c>
      <c r="C31" s="42">
        <v>0.34599999999999997</v>
      </c>
    </row>
  </sheetData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7D7A-F98A-47C2-8AF8-1A6492C32529}">
  <dimension ref="A3:I28"/>
  <sheetViews>
    <sheetView showGridLines="0" tabSelected="1" zoomScale="83" workbookViewId="0">
      <pane ySplit="1" topLeftCell="A2" activePane="bottomLeft" state="frozen"/>
      <selection pane="bottomLeft" activeCell="J13" sqref="J13"/>
    </sheetView>
  </sheetViews>
  <sheetFormatPr defaultRowHeight="14.4" x14ac:dyDescent="0.3"/>
  <cols>
    <col min="1" max="1" width="20.33203125" bestFit="1" customWidth="1"/>
    <col min="2" max="2" width="32.21875" bestFit="1" customWidth="1"/>
    <col min="3" max="3" width="14.5546875" bestFit="1" customWidth="1"/>
    <col min="4" max="4" width="10.44140625" customWidth="1"/>
    <col min="5" max="5" width="9.5546875" bestFit="1" customWidth="1"/>
    <col min="6" max="6" width="34.88671875" bestFit="1" customWidth="1"/>
    <col min="7" max="7" width="28.21875" bestFit="1" customWidth="1"/>
    <col min="8" max="8" width="32" bestFit="1" customWidth="1"/>
    <col min="9" max="10" width="28.21875" bestFit="1" customWidth="1"/>
  </cols>
  <sheetData>
    <row r="3" spans="1:9" x14ac:dyDescent="0.3">
      <c r="A3" s="5" t="s">
        <v>157</v>
      </c>
      <c r="F3" t="s">
        <v>29</v>
      </c>
      <c r="H3" t="s">
        <v>18</v>
      </c>
    </row>
    <row r="4" spans="1:9" x14ac:dyDescent="0.3">
      <c r="B4" t="s">
        <v>29</v>
      </c>
      <c r="C4" t="s">
        <v>18</v>
      </c>
      <c r="F4" t="s">
        <v>155</v>
      </c>
      <c r="G4" t="s">
        <v>156</v>
      </c>
      <c r="H4" t="s">
        <v>155</v>
      </c>
      <c r="I4" t="s">
        <v>156</v>
      </c>
    </row>
    <row r="5" spans="1:9" x14ac:dyDescent="0.3">
      <c r="A5" s="6" t="s">
        <v>20</v>
      </c>
      <c r="B5" s="37">
        <v>6.9045931148732601E-2</v>
      </c>
      <c r="C5" s="37">
        <v>0.215812514841595</v>
      </c>
      <c r="E5" s="6" t="s">
        <v>20</v>
      </c>
      <c r="F5" s="42">
        <v>3.3</v>
      </c>
      <c r="G5" s="42">
        <v>4.58</v>
      </c>
      <c r="H5" s="42">
        <v>4.3166641439623303</v>
      </c>
      <c r="I5" s="42">
        <v>4.1701051126807904</v>
      </c>
    </row>
    <row r="6" spans="1:9" x14ac:dyDescent="0.3">
      <c r="A6" s="6" t="s">
        <v>22</v>
      </c>
      <c r="B6" s="37">
        <v>4.8391521059004197E-2</v>
      </c>
      <c r="C6" s="37">
        <v>9.1840775974722597E-3</v>
      </c>
      <c r="E6" s="6" t="s">
        <v>22</v>
      </c>
      <c r="F6" s="42">
        <v>3.73</v>
      </c>
      <c r="G6" s="42">
        <v>4.5999999999999996</v>
      </c>
      <c r="H6" s="42">
        <v>4.9858021593673998</v>
      </c>
      <c r="I6" s="42">
        <v>5.6906455291970799</v>
      </c>
    </row>
    <row r="7" spans="1:9" x14ac:dyDescent="0.3">
      <c r="A7" s="6" t="s">
        <v>24</v>
      </c>
      <c r="B7" s="37">
        <v>0.145395183043421</v>
      </c>
      <c r="C7" s="37">
        <v>-3.7362270601341298E-3</v>
      </c>
      <c r="E7" s="6" t="s">
        <v>24</v>
      </c>
      <c r="F7" s="42">
        <v>4.8</v>
      </c>
      <c r="G7" s="42">
        <v>4.83</v>
      </c>
      <c r="H7" s="42">
        <v>4.8593720892005896</v>
      </c>
      <c r="I7" s="42">
        <v>5.4204624404142203</v>
      </c>
    </row>
    <row r="8" spans="1:9" x14ac:dyDescent="0.3">
      <c r="A8" s="6" t="s">
        <v>26</v>
      </c>
      <c r="B8" s="37">
        <v>0.27020362519389601</v>
      </c>
      <c r="C8" s="37">
        <v>0.109428914205925</v>
      </c>
      <c r="E8" s="6" t="s">
        <v>26</v>
      </c>
      <c r="F8" s="42">
        <v>4.96</v>
      </c>
      <c r="G8" s="42">
        <v>4.38</v>
      </c>
      <c r="H8" s="42">
        <v>5.1750524847684103</v>
      </c>
      <c r="I8" s="42">
        <v>5.6501277251706696</v>
      </c>
    </row>
    <row r="9" spans="1:9" x14ac:dyDescent="0.3">
      <c r="A9" s="6" t="s">
        <v>28</v>
      </c>
      <c r="B9" s="37">
        <v>0.26376495922181098</v>
      </c>
      <c r="C9" s="37">
        <v>0.176642984468008</v>
      </c>
      <c r="E9" s="6" t="s">
        <v>28</v>
      </c>
      <c r="F9" s="42">
        <v>5.14</v>
      </c>
      <c r="G9" s="42">
        <v>4.66</v>
      </c>
      <c r="H9" s="42">
        <v>5.1753153770812901</v>
      </c>
      <c r="I9" s="42">
        <v>5.63131341821743</v>
      </c>
    </row>
    <row r="13" spans="1:9" x14ac:dyDescent="0.3">
      <c r="A13" s="5" t="s">
        <v>158</v>
      </c>
    </row>
    <row r="14" spans="1:9" x14ac:dyDescent="0.3">
      <c r="B14" t="s">
        <v>29</v>
      </c>
      <c r="C14" t="s">
        <v>18</v>
      </c>
    </row>
    <row r="15" spans="1:9" x14ac:dyDescent="0.3">
      <c r="A15" s="6" t="s">
        <v>20</v>
      </c>
      <c r="B15" s="26">
        <v>1.0906483794217801</v>
      </c>
      <c r="C15" s="26">
        <v>0.33208844065826298</v>
      </c>
    </row>
    <row r="16" spans="1:9" x14ac:dyDescent="0.3">
      <c r="A16" s="6" t="s">
        <v>22</v>
      </c>
      <c r="B16" s="26">
        <v>0.90001307999596902</v>
      </c>
      <c r="C16" s="26">
        <v>0.24862073881689301</v>
      </c>
    </row>
    <row r="17" spans="1:3" x14ac:dyDescent="0.3">
      <c r="A17" s="6" t="s">
        <v>24</v>
      </c>
      <c r="B17" s="26">
        <v>1.09479787913292</v>
      </c>
      <c r="C17" s="26">
        <v>0.218404286972987</v>
      </c>
    </row>
    <row r="18" spans="1:3" x14ac:dyDescent="0.3">
      <c r="A18" s="6" t="s">
        <v>26</v>
      </c>
      <c r="B18" s="26">
        <v>1.1628702671801701</v>
      </c>
      <c r="C18" s="26">
        <v>0.27610105681489699</v>
      </c>
    </row>
    <row r="19" spans="1:3" x14ac:dyDescent="0.3">
      <c r="A19" s="6" t="s">
        <v>28</v>
      </c>
      <c r="B19" s="26">
        <v>1.47955484039264</v>
      </c>
      <c r="C19" s="26">
        <v>0.41469196513177597</v>
      </c>
    </row>
    <row r="22" spans="1:3" x14ac:dyDescent="0.3">
      <c r="A22" s="5" t="s">
        <v>159</v>
      </c>
    </row>
    <row r="23" spans="1:3" x14ac:dyDescent="0.3">
      <c r="B23" t="s">
        <v>29</v>
      </c>
      <c r="C23" t="s">
        <v>18</v>
      </c>
    </row>
    <row r="24" spans="1:3" x14ac:dyDescent="0.3">
      <c r="A24" s="6" t="s">
        <v>20</v>
      </c>
      <c r="B24" s="37">
        <v>-0.398192673526162</v>
      </c>
      <c r="C24" s="37">
        <v>-0.19447276130313401</v>
      </c>
    </row>
    <row r="25" spans="1:3" x14ac:dyDescent="0.3">
      <c r="A25" s="6" t="s">
        <v>22</v>
      </c>
      <c r="B25" s="37">
        <v>-0.23797934412448901</v>
      </c>
      <c r="C25" s="37">
        <v>-0.26313542088109998</v>
      </c>
    </row>
    <row r="26" spans="1:3" x14ac:dyDescent="0.3">
      <c r="A26" s="6" t="s">
        <v>24</v>
      </c>
      <c r="B26" s="37">
        <v>-5.8170180525809502E-3</v>
      </c>
      <c r="C26" s="37">
        <v>-0.16947143031106701</v>
      </c>
    </row>
    <row r="27" spans="1:3" x14ac:dyDescent="0.3">
      <c r="A27" s="6" t="s">
        <v>26</v>
      </c>
      <c r="B27" s="37">
        <v>0.118533676731141</v>
      </c>
      <c r="C27" s="37">
        <v>-5.8076668084165999E-2</v>
      </c>
    </row>
    <row r="28" spans="1:3" x14ac:dyDescent="0.3">
      <c r="A28" s="6" t="s">
        <v>28</v>
      </c>
      <c r="B28" s="37">
        <v>8.9765231488929897E-2</v>
      </c>
      <c r="C28" s="37">
        <v>1.0990543711512301E-2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Summary</vt:lpstr>
      <vt:lpstr>Operational Metrics</vt:lpstr>
      <vt:lpstr>Key Ratios</vt:lpstr>
      <vt:lpstr>Expense Breakdown</vt:lpstr>
      <vt:lpstr>Events &amp; Sources</vt:lpstr>
      <vt:lpstr>Financial Comparisons</vt:lpstr>
      <vt:lpstr>Operational comparisions</vt:lpstr>
      <vt:lpstr>key Ratio 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S Jacob</cp:lastModifiedBy>
  <dcterms:created xsi:type="dcterms:W3CDTF">2026-09-13T11:24:41Z</dcterms:created>
  <dcterms:modified xsi:type="dcterms:W3CDTF">2026-09-15T11:22:59Z</dcterms:modified>
</cp:coreProperties>
</file>